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36CA102E-C0A7-42E1-A4EB-C57BDC9CACD0}" xr6:coauthVersionLast="47" xr6:coauthVersionMax="47" xr10:uidLastSave="{00000000-0000-0000-0000-000000000000}"/>
  <bookViews>
    <workbookView xWindow="-120" yWindow="-120" windowWidth="38640" windowHeight="2112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3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5" l="1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S36" i="4"/>
  <c r="S37" i="4"/>
  <c r="S38" i="4"/>
  <c r="S39" i="4"/>
  <c r="S40" i="4"/>
  <c r="S41" i="4"/>
  <c r="S42" i="4"/>
  <c r="S43" i="4"/>
  <c r="T43" i="4" s="1" a="1"/>
  <c r="T43" i="4" s="1"/>
  <c r="S44" i="4"/>
  <c r="T44" i="4" s="1" a="1"/>
  <c r="T44" i="4" s="1"/>
  <c r="S45" i="4"/>
  <c r="S46" i="4"/>
  <c r="T46" i="4" s="1" a="1"/>
  <c r="T46" i="4" s="1"/>
  <c r="S26" i="4"/>
  <c r="S27" i="4"/>
  <c r="S28" i="4"/>
  <c r="S29" i="4"/>
  <c r="S30" i="4"/>
  <c r="S31" i="4"/>
  <c r="S32" i="4"/>
  <c r="S33" i="4"/>
  <c r="S34" i="4"/>
  <c r="S35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U26" i="4" a="1"/>
  <c r="U26" i="4" s="1"/>
  <c r="U27" i="4" a="1"/>
  <c r="U27" i="4" s="1"/>
  <c r="U28" i="4" a="1"/>
  <c r="U28" i="4" s="1"/>
  <c r="U29" i="4" a="1"/>
  <c r="U29" i="4" s="1"/>
  <c r="U30" i="4" a="1"/>
  <c r="U30" i="4" s="1"/>
  <c r="U31" i="4" a="1"/>
  <c r="U31" i="4" s="1"/>
  <c r="U32" i="4" a="1"/>
  <c r="U32" i="4" s="1"/>
  <c r="U33" i="4" a="1"/>
  <c r="U33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S47" i="4"/>
  <c r="S48" i="4"/>
  <c r="S49" i="4"/>
  <c r="S50" i="4"/>
  <c r="S51" i="4"/>
  <c r="A3" i="1"/>
  <c r="A4" i="1"/>
  <c r="A5" i="1"/>
  <c r="B5" i="1" s="1"/>
  <c r="A6" i="1"/>
  <c r="B6" i="1" s="1"/>
  <c r="A7" i="1"/>
  <c r="A8" i="1"/>
  <c r="B8" i="1" s="1"/>
  <c r="A9" i="1"/>
  <c r="A10" i="1"/>
  <c r="A11" i="1"/>
  <c r="B11" i="1" s="1"/>
  <c r="A12" i="1"/>
  <c r="B12" i="1" s="1"/>
  <c r="A13" i="1"/>
  <c r="A14" i="1"/>
  <c r="A15" i="1"/>
  <c r="A16" i="1"/>
  <c r="B16" i="1" s="1"/>
  <c r="A17" i="1"/>
  <c r="B17" i="1" s="1"/>
  <c r="A18" i="1"/>
  <c r="B18" i="1" s="1"/>
  <c r="A19" i="1"/>
  <c r="A20" i="1"/>
  <c r="B20" i="1" s="1"/>
  <c r="A21" i="1"/>
  <c r="B21" i="1" s="1"/>
  <c r="A22" i="1"/>
  <c r="B22" i="1" s="1"/>
  <c r="A23" i="1"/>
  <c r="B23" i="1" s="1"/>
  <c r="A24" i="1"/>
  <c r="B24" i="1" s="1"/>
  <c r="A25" i="1"/>
  <c r="A26" i="1"/>
  <c r="B26" i="1" s="1"/>
  <c r="A27" i="1"/>
  <c r="B27" i="1" s="1"/>
  <c r="A28" i="1"/>
  <c r="B28" i="1" s="1"/>
  <c r="A29" i="1"/>
  <c r="B29" i="1" s="1"/>
  <c r="A30" i="1"/>
  <c r="B30" i="1" s="1"/>
  <c r="A31" i="1"/>
  <c r="A32" i="1"/>
  <c r="B32" i="1" s="1"/>
  <c r="A33" i="1"/>
  <c r="B33" i="1" s="1"/>
  <c r="A34" i="1"/>
  <c r="B34" i="1" s="1"/>
  <c r="A35" i="1"/>
  <c r="B35" i="1" s="1"/>
  <c r="A36" i="1"/>
  <c r="B36" i="1" s="1"/>
  <c r="A37" i="1"/>
  <c r="A38" i="1"/>
  <c r="B38" i="1" s="1"/>
  <c r="A39" i="1"/>
  <c r="B39" i="1" s="1"/>
  <c r="A40" i="1"/>
  <c r="B40" i="1" s="1"/>
  <c r="A41" i="1"/>
  <c r="B41" i="1" s="1"/>
  <c r="A42" i="1"/>
  <c r="B42" i="1" s="1"/>
  <c r="A43" i="1"/>
  <c r="A44" i="1"/>
  <c r="B44" i="1" s="1"/>
  <c r="A45" i="1"/>
  <c r="A46" i="1"/>
  <c r="B46" i="1" s="1"/>
  <c r="A47" i="1"/>
  <c r="B47" i="1" s="1"/>
  <c r="A48" i="1"/>
  <c r="B48" i="1" s="1"/>
  <c r="A49" i="1"/>
  <c r="A50" i="1"/>
  <c r="B50" i="1" s="1"/>
  <c r="A51" i="1"/>
  <c r="B51" i="1" s="1"/>
  <c r="A52" i="1"/>
  <c r="B52" i="1" s="1"/>
  <c r="A53" i="1"/>
  <c r="B53" i="1" s="1"/>
  <c r="A54" i="1"/>
  <c r="B54" i="1" s="1"/>
  <c r="A55" i="1"/>
  <c r="A56" i="1"/>
  <c r="B56" i="1" s="1"/>
  <c r="A57" i="1"/>
  <c r="A58" i="1"/>
  <c r="B58" i="1" s="1"/>
  <c r="A59" i="1"/>
  <c r="B59" i="1" s="1"/>
  <c r="A60" i="1"/>
  <c r="B60" i="1" s="1"/>
  <c r="A61" i="1"/>
  <c r="A62" i="1"/>
  <c r="B62" i="1" s="1"/>
  <c r="A63" i="1"/>
  <c r="B63" i="1" s="1"/>
  <c r="A64" i="1"/>
  <c r="B64" i="1" s="1"/>
  <c r="A65" i="1"/>
  <c r="B65" i="1" s="1"/>
  <c r="A66" i="1"/>
  <c r="B66" i="1" s="1"/>
  <c r="A67" i="1"/>
  <c r="A68" i="1"/>
  <c r="B68" i="1" s="1"/>
  <c r="A69" i="1"/>
  <c r="B69" i="1" s="1"/>
  <c r="A70" i="1"/>
  <c r="B70" i="1" s="1"/>
  <c r="A71" i="1"/>
  <c r="A72" i="1"/>
  <c r="A73" i="1"/>
  <c r="A74" i="1"/>
  <c r="A75" i="1"/>
  <c r="B75" i="1" s="1"/>
  <c r="A76" i="1"/>
  <c r="B76" i="1" s="1"/>
  <c r="A77" i="1"/>
  <c r="A78" i="1"/>
  <c r="A79" i="1"/>
  <c r="A80" i="1"/>
  <c r="B80" i="1" s="1"/>
  <c r="A81" i="1"/>
  <c r="B81" i="1" s="1"/>
  <c r="A82" i="1"/>
  <c r="B82" i="1" s="1"/>
  <c r="A83" i="1"/>
  <c r="B83" i="1" s="1"/>
  <c r="A84" i="1"/>
  <c r="A85" i="1"/>
  <c r="A86" i="1"/>
  <c r="B86" i="1" s="1"/>
  <c r="A87" i="1"/>
  <c r="B87" i="1" s="1"/>
  <c r="A88" i="1"/>
  <c r="B88" i="1" s="1"/>
  <c r="A89" i="1"/>
  <c r="A90" i="1"/>
  <c r="A91" i="1"/>
  <c r="A92" i="1"/>
  <c r="A93" i="1"/>
  <c r="B93" i="1" s="1"/>
  <c r="A94" i="1"/>
  <c r="B94" i="1" s="1"/>
  <c r="A95" i="1"/>
  <c r="A96" i="1"/>
  <c r="A97" i="1"/>
  <c r="A98" i="1"/>
  <c r="B98" i="1" s="1"/>
  <c r="A99" i="1"/>
  <c r="B99" i="1" s="1"/>
  <c r="A100" i="1"/>
  <c r="B100" i="1" s="1"/>
  <c r="A101" i="1"/>
  <c r="B101" i="1" s="1"/>
  <c r="A102" i="1"/>
  <c r="A103" i="1"/>
  <c r="A104" i="1"/>
  <c r="B104" i="1" s="1"/>
  <c r="A105" i="1"/>
  <c r="B105" i="1" s="1"/>
  <c r="A106" i="1"/>
  <c r="B106" i="1" s="1"/>
  <c r="A107" i="1"/>
  <c r="A108" i="1"/>
  <c r="A109" i="1"/>
  <c r="A110" i="1"/>
  <c r="A111" i="1"/>
  <c r="B111" i="1" s="1"/>
  <c r="A112" i="1"/>
  <c r="B112" i="1" s="1"/>
  <c r="A113" i="1"/>
  <c r="A114" i="1"/>
  <c r="A115" i="1"/>
  <c r="A116" i="1"/>
  <c r="B116" i="1" s="1"/>
  <c r="A117" i="1"/>
  <c r="B117" i="1" s="1"/>
  <c r="A118" i="1"/>
  <c r="B118" i="1" s="1"/>
  <c r="A119" i="1"/>
  <c r="B119" i="1" s="1"/>
  <c r="A120" i="1"/>
  <c r="A121" i="1"/>
  <c r="A122" i="1"/>
  <c r="B122" i="1" s="1"/>
  <c r="A123" i="1"/>
  <c r="B123" i="1" s="1"/>
  <c r="A124" i="1"/>
  <c r="B124" i="1" s="1"/>
  <c r="A125" i="1"/>
  <c r="A126" i="1"/>
  <c r="A127" i="1"/>
  <c r="A128" i="1"/>
  <c r="A129" i="1"/>
  <c r="B129" i="1" s="1"/>
  <c r="A130" i="1"/>
  <c r="B130" i="1" s="1"/>
  <c r="A131" i="1"/>
  <c r="A132" i="1"/>
  <c r="A133" i="1"/>
  <c r="A134" i="1"/>
  <c r="B134" i="1" s="1"/>
  <c r="A135" i="1"/>
  <c r="B135" i="1" s="1"/>
  <c r="A136" i="1"/>
  <c r="B136" i="1" s="1"/>
  <c r="A137" i="1"/>
  <c r="B137" i="1" s="1"/>
  <c r="A138" i="1"/>
  <c r="A139" i="1"/>
  <c r="A140" i="1"/>
  <c r="B140" i="1" s="1"/>
  <c r="A141" i="1"/>
  <c r="B141" i="1" s="1"/>
  <c r="A142" i="1"/>
  <c r="B142" i="1" s="1"/>
  <c r="A143" i="1"/>
  <c r="A144" i="1"/>
  <c r="A145" i="1"/>
  <c r="A146" i="1"/>
  <c r="B146" i="1" s="1"/>
  <c r="A147" i="1"/>
  <c r="B147" i="1" s="1"/>
  <c r="A148" i="1"/>
  <c r="B148" i="1" s="1"/>
  <c r="A149" i="1"/>
  <c r="A150" i="1"/>
  <c r="A151" i="1"/>
  <c r="A152" i="1"/>
  <c r="B152" i="1" s="1"/>
  <c r="A153" i="1"/>
  <c r="B153" i="1" s="1"/>
  <c r="A154" i="1"/>
  <c r="B154" i="1" s="1"/>
  <c r="A2" i="1"/>
  <c r="B2" i="1" s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3" i="1"/>
  <c r="B4" i="1"/>
  <c r="B7" i="1"/>
  <c r="B9" i="1"/>
  <c r="B10" i="1"/>
  <c r="B13" i="1"/>
  <c r="B14" i="1"/>
  <c r="B15" i="1"/>
  <c r="B19" i="1"/>
  <c r="B25" i="1"/>
  <c r="B31" i="1"/>
  <c r="B37" i="1"/>
  <c r="B43" i="1"/>
  <c r="B45" i="1"/>
  <c r="B49" i="1"/>
  <c r="B55" i="1"/>
  <c r="B57" i="1"/>
  <c r="B61" i="1"/>
  <c r="B67" i="1"/>
  <c r="B71" i="1"/>
  <c r="B72" i="1"/>
  <c r="B73" i="1"/>
  <c r="B74" i="1"/>
  <c r="B77" i="1"/>
  <c r="B78" i="1"/>
  <c r="B79" i="1"/>
  <c r="B84" i="1"/>
  <c r="B85" i="1"/>
  <c r="B89" i="1"/>
  <c r="B90" i="1"/>
  <c r="B91" i="1"/>
  <c r="B92" i="1"/>
  <c r="B95" i="1"/>
  <c r="B96" i="1"/>
  <c r="B97" i="1"/>
  <c r="B102" i="1"/>
  <c r="B103" i="1"/>
  <c r="B107" i="1"/>
  <c r="B108" i="1"/>
  <c r="B109" i="1"/>
  <c r="B110" i="1"/>
  <c r="B113" i="1"/>
  <c r="B114" i="1"/>
  <c r="B115" i="1"/>
  <c r="B120" i="1"/>
  <c r="B121" i="1"/>
  <c r="B125" i="1"/>
  <c r="B126" i="1"/>
  <c r="B127" i="1"/>
  <c r="B128" i="1"/>
  <c r="B131" i="1"/>
  <c r="B132" i="1"/>
  <c r="B133" i="1"/>
  <c r="B138" i="1"/>
  <c r="B139" i="1"/>
  <c r="B143" i="1"/>
  <c r="B144" i="1"/>
  <c r="B145" i="1"/>
  <c r="B149" i="1"/>
  <c r="B150" i="1"/>
  <c r="B151" i="1"/>
  <c r="A155" i="1"/>
  <c r="B155" i="1" s="1"/>
  <c r="A156" i="1"/>
  <c r="B156" i="1" s="1"/>
  <c r="A157" i="1"/>
  <c r="B157" i="1" s="1"/>
  <c r="A158" i="1"/>
  <c r="B158" i="1" s="1"/>
  <c r="A159" i="1"/>
  <c r="A160" i="1"/>
  <c r="A161" i="1"/>
  <c r="A162" i="1"/>
  <c r="A163" i="1"/>
  <c r="A164" i="1"/>
  <c r="A165" i="1"/>
  <c r="A166" i="1"/>
  <c r="A167" i="1"/>
  <c r="A168" i="1"/>
  <c r="A169" i="1"/>
  <c r="A43" i="4"/>
  <c r="C43" i="4"/>
  <c r="D43" i="4" s="1"/>
  <c r="G43" i="4"/>
  <c r="H43" i="4" s="1"/>
  <c r="F43" i="4" s="1"/>
  <c r="L43" i="4"/>
  <c r="N43" i="4" s="1"/>
  <c r="P43" i="4" s="1"/>
  <c r="M43" i="4"/>
  <c r="O43" i="4" s="1" a="1"/>
  <c r="O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T47" i="4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T48" i="4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T49" i="4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T50" i="4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T51" i="4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AD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AD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AD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AD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AD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AD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AD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AD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AD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AD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AD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AD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AD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AD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AD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AD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AD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AD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AD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AD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AD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AD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AD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AD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AD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AD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AD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F252" i="4"/>
  <c r="L252" i="4"/>
  <c r="N252" i="4" s="1"/>
  <c r="M252" i="4"/>
  <c r="S252" i="4"/>
  <c r="T252" i="4" s="1" a="1"/>
  <c r="T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D248" i="4" l="1"/>
  <c r="AD242" i="4"/>
  <c r="AD238" i="4"/>
  <c r="AD226" i="4"/>
  <c r="AD214" i="4"/>
  <c r="AD202" i="4"/>
  <c r="AD190" i="4"/>
  <c r="AD172" i="4"/>
  <c r="AD160" i="4"/>
  <c r="AD148" i="4"/>
  <c r="AD136" i="4"/>
  <c r="AD124" i="4"/>
  <c r="AD112" i="4"/>
  <c r="AD100" i="4"/>
  <c r="AD83" i="4"/>
  <c r="AD65" i="4"/>
  <c r="AD250" i="4"/>
  <c r="AD244" i="4"/>
  <c r="AD232" i="4"/>
  <c r="AD220" i="4"/>
  <c r="AD208" i="4"/>
  <c r="AD196" i="4"/>
  <c r="AD184" i="4"/>
  <c r="AD178" i="4"/>
  <c r="AD166" i="4"/>
  <c r="AD154" i="4"/>
  <c r="AD142" i="4"/>
  <c r="AD130" i="4"/>
  <c r="AD118" i="4"/>
  <c r="AD106" i="4"/>
  <c r="AD94" i="4"/>
  <c r="AD77" i="4"/>
  <c r="AD71" i="4"/>
  <c r="AD59" i="4"/>
  <c r="AD88" i="4"/>
  <c r="AD82" i="4"/>
  <c r="AD76" i="4"/>
  <c r="AD70" i="4"/>
  <c r="AD64" i="4"/>
  <c r="AD58" i="4"/>
  <c r="AD52" i="4"/>
  <c r="AD46" i="4"/>
  <c r="AD230" i="4"/>
  <c r="AD224" i="4"/>
  <c r="AD218" i="4"/>
  <c r="AD212" i="4"/>
  <c r="AD206" i="4"/>
  <c r="AD200" i="4"/>
  <c r="AD194" i="4"/>
  <c r="AD188" i="4"/>
  <c r="AD182" i="4"/>
  <c r="AD176" i="4"/>
  <c r="AD170" i="4"/>
  <c r="AD164" i="4"/>
  <c r="AD158" i="4"/>
  <c r="AD152" i="4"/>
  <c r="AD146" i="4"/>
  <c r="AD140" i="4"/>
  <c r="AD134" i="4"/>
  <c r="AD128" i="4"/>
  <c r="AD122" i="4"/>
  <c r="AD116" i="4"/>
  <c r="AD110" i="4"/>
  <c r="AD104" i="4"/>
  <c r="AD98" i="4"/>
  <c r="AD92" i="4"/>
  <c r="AD87" i="4"/>
  <c r="AD81" i="4"/>
  <c r="AD75" i="4"/>
  <c r="AD69" i="4"/>
  <c r="AD63" i="4"/>
  <c r="AD57" i="4"/>
  <c r="AD51" i="4"/>
  <c r="AD86" i="4"/>
  <c r="AD80" i="4"/>
  <c r="AD74" i="4"/>
  <c r="AD68" i="4"/>
  <c r="AD62" i="4"/>
  <c r="AD56" i="4"/>
  <c r="AD50" i="4"/>
  <c r="AD44" i="4"/>
  <c r="AD53" i="4"/>
  <c r="AD47" i="4"/>
  <c r="AD45" i="4"/>
  <c r="AD251" i="4"/>
  <c r="AD245" i="4"/>
  <c r="AD239" i="4"/>
  <c r="AD236" i="4"/>
  <c r="AD233" i="4"/>
  <c r="AD227" i="4"/>
  <c r="AD221" i="4"/>
  <c r="AD215" i="4"/>
  <c r="AD209" i="4"/>
  <c r="AD203" i="4"/>
  <c r="AD197" i="4"/>
  <c r="AD191" i="4"/>
  <c r="AD185" i="4"/>
  <c r="AD179" i="4"/>
  <c r="AD173" i="4"/>
  <c r="AD167" i="4"/>
  <c r="AD161" i="4"/>
  <c r="AD155" i="4"/>
  <c r="AD149" i="4"/>
  <c r="AD143" i="4"/>
  <c r="AD137" i="4"/>
  <c r="AD131" i="4"/>
  <c r="AD125" i="4"/>
  <c r="AD119" i="4"/>
  <c r="AD113" i="4"/>
  <c r="AD107" i="4"/>
  <c r="AD101" i="4"/>
  <c r="AD95" i="4"/>
  <c r="AD89" i="4"/>
  <c r="AD210" i="4"/>
  <c r="AD204" i="4"/>
  <c r="AD198" i="4"/>
  <c r="AD192" i="4"/>
  <c r="AD186" i="4"/>
  <c r="AD180" i="4"/>
  <c r="AD174" i="4"/>
  <c r="AD156" i="4"/>
  <c r="AD138" i="4"/>
  <c r="AD132" i="4"/>
  <c r="AD90" i="4"/>
  <c r="AD256" i="4"/>
  <c r="AD246" i="4"/>
  <c r="AD240" i="4"/>
  <c r="AD234" i="4"/>
  <c r="AD228" i="4"/>
  <c r="AD222" i="4"/>
  <c r="AD216" i="4"/>
  <c r="AD168" i="4"/>
  <c r="AD162" i="4"/>
  <c r="AD150" i="4"/>
  <c r="AD144" i="4"/>
  <c r="AD126" i="4"/>
  <c r="AD120" i="4"/>
  <c r="AD114" i="4"/>
  <c r="AD108" i="4"/>
  <c r="AD102" i="4"/>
  <c r="AD96" i="4"/>
  <c r="AD84" i="4"/>
  <c r="AD78" i="4"/>
  <c r="AD72" i="4"/>
  <c r="AD66" i="4"/>
  <c r="AD60" i="4"/>
  <c r="AD54" i="4"/>
  <c r="AD48" i="4"/>
  <c r="AD223" i="4"/>
  <c r="AD217" i="4"/>
  <c r="AD211" i="4"/>
  <c r="AD205" i="4"/>
  <c r="AD199" i="4"/>
  <c r="AD193" i="4"/>
  <c r="AD187" i="4"/>
  <c r="AD181" i="4"/>
  <c r="AD175" i="4"/>
  <c r="AD169" i="4"/>
  <c r="AD163" i="4"/>
  <c r="AD157" i="4"/>
  <c r="AD151" i="4"/>
  <c r="AD145" i="4"/>
  <c r="AD139" i="4"/>
  <c r="AD133" i="4"/>
  <c r="AD127" i="4"/>
  <c r="AD121" i="4"/>
  <c r="AD115" i="4"/>
  <c r="AD109" i="4"/>
  <c r="AD103" i="4"/>
  <c r="AD97" i="4"/>
  <c r="AD91" i="4"/>
  <c r="AD253" i="4"/>
  <c r="AD247" i="4"/>
  <c r="AD241" i="4"/>
  <c r="AD235" i="4"/>
  <c r="AD229" i="4"/>
  <c r="AD85" i="4"/>
  <c r="AD79" i="4"/>
  <c r="AD73" i="4"/>
  <c r="AD67" i="4"/>
  <c r="AD61" i="4"/>
  <c r="AD55" i="4"/>
  <c r="AD49" i="4"/>
  <c r="AD254" i="4"/>
  <c r="AD252" i="4"/>
  <c r="AD255" i="4"/>
  <c r="AD43" i="4"/>
  <c r="E2" i="1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6" i="6"/>
  <c r="I16" i="6"/>
  <c r="H15" i="6"/>
  <c r="H14" i="6"/>
  <c r="J10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S13" i="4" l="1"/>
  <c r="S19" i="4"/>
  <c r="S25" i="4"/>
  <c r="Q9" i="4"/>
  <c r="Q15" i="4"/>
  <c r="Q21" i="4"/>
  <c r="U12" i="4" a="1"/>
  <c r="U12" i="4" s="1"/>
  <c r="U18" i="4" a="1"/>
  <c r="U18" i="4" s="1"/>
  <c r="U24" i="4" a="1"/>
  <c r="U24" i="4" s="1"/>
  <c r="S14" i="4"/>
  <c r="S20" i="4"/>
  <c r="Q10" i="4"/>
  <c r="Q16" i="4"/>
  <c r="Q22" i="4"/>
  <c r="U13" i="4" a="1"/>
  <c r="U13" i="4" s="1"/>
  <c r="U19" i="4" a="1"/>
  <c r="U19" i="4" s="1"/>
  <c r="U25" i="4" a="1"/>
  <c r="U25" i="4" s="1"/>
  <c r="S9" i="4"/>
  <c r="S15" i="4"/>
  <c r="S21" i="4"/>
  <c r="Q11" i="4"/>
  <c r="Q17" i="4"/>
  <c r="Q23" i="4"/>
  <c r="U14" i="4" a="1"/>
  <c r="U14" i="4" s="1"/>
  <c r="U20" i="4" a="1"/>
  <c r="U20" i="4" s="1"/>
  <c r="S10" i="4"/>
  <c r="S16" i="4"/>
  <c r="S22" i="4"/>
  <c r="Q12" i="4"/>
  <c r="Q18" i="4"/>
  <c r="Q24" i="4"/>
  <c r="U9" i="4" a="1"/>
  <c r="U9" i="4" s="1"/>
  <c r="U15" i="4" a="1"/>
  <c r="U15" i="4" s="1"/>
  <c r="U21" i="4" a="1"/>
  <c r="U21" i="4" s="1"/>
  <c r="S11" i="4"/>
  <c r="S17" i="4"/>
  <c r="S23" i="4"/>
  <c r="Q13" i="4"/>
  <c r="Q19" i="4"/>
  <c r="Q25" i="4"/>
  <c r="U10" i="4" a="1"/>
  <c r="U10" i="4" s="1"/>
  <c r="U16" i="4" a="1"/>
  <c r="U16" i="4" s="1"/>
  <c r="U22" i="4" a="1"/>
  <c r="U22" i="4" s="1"/>
  <c r="S12" i="4"/>
  <c r="S18" i="4"/>
  <c r="S24" i="4"/>
  <c r="Q14" i="4"/>
  <c r="Q20" i="4"/>
  <c r="U11" i="4" a="1"/>
  <c r="U11" i="4" s="1"/>
  <c r="U17" i="4" a="1"/>
  <c r="U17" i="4" s="1"/>
  <c r="U23" i="4" a="1"/>
  <c r="U23" i="4" s="1"/>
  <c r="S7" i="4"/>
  <c r="Q8" i="4"/>
  <c r="U3" i="4" a="1"/>
  <c r="U3" i="4" s="1"/>
  <c r="Q7" i="4"/>
  <c r="S8" i="4"/>
  <c r="Q3" i="4"/>
  <c r="U4" i="4" a="1"/>
  <c r="U4" i="4" s="1"/>
  <c r="S3" i="4"/>
  <c r="Q4" i="4"/>
  <c r="U5" i="4" a="1"/>
  <c r="U5" i="4" s="1"/>
  <c r="S6" i="4"/>
  <c r="U8" i="4" a="1"/>
  <c r="U8" i="4" s="1"/>
  <c r="S4" i="4"/>
  <c r="Q5" i="4"/>
  <c r="U6" i="4" a="1"/>
  <c r="U6" i="4" s="1"/>
  <c r="S5" i="4"/>
  <c r="Q6" i="4"/>
  <c r="U7" i="4" a="1"/>
  <c r="U7" i="4" s="1"/>
  <c r="AB6" i="6"/>
  <c r="AB7" i="6"/>
  <c r="I17" i="6"/>
  <c r="X40" i="1"/>
  <c r="AB5" i="6"/>
  <c r="AB2" i="6"/>
  <c r="AB8" i="6"/>
  <c r="S23" i="6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7" i="6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T7" i="4" a="1"/>
  <c r="T7" i="4" s="1"/>
  <c r="AD7" i="4" s="1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T13" i="4" a="1"/>
  <c r="T13" i="4" s="1"/>
  <c r="A15" i="4"/>
  <c r="T15" i="4" a="1"/>
  <c r="T15" i="4" s="1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T27" i="4" a="1"/>
  <c r="T27" i="4" s="1"/>
  <c r="AD27" i="4" s="1"/>
  <c r="C28" i="4"/>
  <c r="D28" i="4" s="1"/>
  <c r="T3" i="4" a="1"/>
  <c r="T3" i="4" s="1"/>
  <c r="G4" i="4"/>
  <c r="H4" i="4" s="1"/>
  <c r="F4" i="4" s="1"/>
  <c r="C6" i="4"/>
  <c r="D6" i="4" s="1"/>
  <c r="T6" i="4" a="1"/>
  <c r="T6" i="4" s="1"/>
  <c r="AD6" i="4" s="1"/>
  <c r="G7" i="4"/>
  <c r="H7" i="4" s="1"/>
  <c r="F7" i="4" s="1"/>
  <c r="L8" i="4"/>
  <c r="N8" i="4" s="1"/>
  <c r="A9" i="4"/>
  <c r="T9" i="4" a="1"/>
  <c r="T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T5" i="4" a="1"/>
  <c r="T5" i="4" s="1"/>
  <c r="AD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T14" i="4" a="1"/>
  <c r="T14" i="4" s="1"/>
  <c r="G15" i="4"/>
  <c r="H15" i="4" s="1"/>
  <c r="F15" i="4" s="1"/>
  <c r="G16" i="4"/>
  <c r="H16" i="4" s="1"/>
  <c r="F16" i="4" s="1"/>
  <c r="T16" i="4" a="1"/>
  <c r="T16" i="4" s="1"/>
  <c r="C17" i="4"/>
  <c r="D17" i="4" s="1"/>
  <c r="A18" i="4"/>
  <c r="A19" i="4"/>
  <c r="A22" i="4"/>
  <c r="T22" i="4" a="1"/>
  <c r="T22" i="4" s="1"/>
  <c r="T23" i="4" a="1"/>
  <c r="T23" i="4" s="1"/>
  <c r="AD23" i="4" s="1"/>
  <c r="G24" i="4"/>
  <c r="H24" i="4" s="1"/>
  <c r="F24" i="4" s="1"/>
  <c r="T24" i="4" a="1"/>
  <c r="T24" i="4" s="1"/>
  <c r="C25" i="4"/>
  <c r="D25" i="4" s="1"/>
  <c r="T25" i="4" a="1"/>
  <c r="T25" i="4" s="1"/>
  <c r="T26" i="4" a="1"/>
  <c r="T26" i="4" s="1"/>
  <c r="AD26" i="4" s="1"/>
  <c r="G27" i="4"/>
  <c r="H27" i="4" s="1"/>
  <c r="F27" i="4" s="1"/>
  <c r="G28" i="4"/>
  <c r="H28" i="4" s="1"/>
  <c r="F28" i="4" s="1"/>
  <c r="T28" i="4" a="1"/>
  <c r="T28" i="4" s="1"/>
  <c r="AD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T8" i="4" a="1"/>
  <c r="T8" i="4" s="1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T4" i="4" a="1"/>
  <c r="T4" i="4" s="1"/>
  <c r="AD4" i="4" s="1"/>
  <c r="G5" i="4"/>
  <c r="H5" i="4" s="1"/>
  <c r="F5" i="4" s="1"/>
  <c r="C8" i="4"/>
  <c r="D8" i="4" s="1"/>
  <c r="L9" i="4"/>
  <c r="N9" i="4" s="1"/>
  <c r="T10" i="4" a="1"/>
  <c r="T10" i="4" s="1"/>
  <c r="T11" i="4" a="1"/>
  <c r="T11" i="4" s="1"/>
  <c r="G12" i="4"/>
  <c r="H12" i="4" s="1"/>
  <c r="F12" i="4" s="1"/>
  <c r="T12" i="4" a="1"/>
  <c r="T12" i="4" s="1"/>
  <c r="AD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T17" i="4" a="1"/>
  <c r="T17" i="4" s="1"/>
  <c r="AD17" i="4" s="1"/>
  <c r="T18" i="4" a="1"/>
  <c r="T18" i="4" s="1"/>
  <c r="G19" i="4"/>
  <c r="H19" i="4" s="1"/>
  <c r="F19" i="4" s="1"/>
  <c r="T19" i="4" a="1"/>
  <c r="T19" i="4" s="1"/>
  <c r="C20" i="4"/>
  <c r="D20" i="4" s="1"/>
  <c r="C21" i="4"/>
  <c r="D21" i="4" s="1"/>
  <c r="T21" i="4" a="1"/>
  <c r="T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T29" i="4" a="1"/>
  <c r="T29" i="4" s="1"/>
  <c r="T30" i="4" a="1"/>
  <c r="T30" i="4" s="1"/>
  <c r="G31" i="4"/>
  <c r="H31" i="4" s="1"/>
  <c r="F31" i="4" s="1"/>
  <c r="T31" i="4" a="1"/>
  <c r="T31" i="4" s="1"/>
  <c r="AD31" i="4" s="1"/>
  <c r="C32" i="4"/>
  <c r="D32" i="4" s="1"/>
  <c r="C33" i="4"/>
  <c r="D33" i="4" s="1"/>
  <c r="T33" i="4" a="1"/>
  <c r="T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T32" i="4" a="1"/>
  <c r="T32" i="4" s="1"/>
  <c r="L33" i="4"/>
  <c r="N33" i="4" s="1"/>
  <c r="T34" i="4" a="1"/>
  <c r="T34" i="4" s="1"/>
  <c r="G35" i="4"/>
  <c r="H35" i="4" s="1"/>
  <c r="F35" i="4" s="1"/>
  <c r="A36" i="4"/>
  <c r="C37" i="4"/>
  <c r="D37" i="4" s="1"/>
  <c r="T37" i="4" a="1"/>
  <c r="T37" i="4" s="1"/>
  <c r="G38" i="4"/>
  <c r="H38" i="4" s="1"/>
  <c r="F38" i="4" s="1"/>
  <c r="C40" i="4"/>
  <c r="D40" i="4" s="1"/>
  <c r="C41" i="4"/>
  <c r="D41" i="4" s="1"/>
  <c r="T41" i="4" a="1"/>
  <c r="T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T36" i="4" a="1"/>
  <c r="T36" i="4" s="1"/>
  <c r="AD36" i="4" s="1"/>
  <c r="L38" i="4"/>
  <c r="N38" i="4" s="1"/>
  <c r="A39" i="4"/>
  <c r="T39" i="4" a="1"/>
  <c r="T39" i="4" s="1"/>
  <c r="AD39" i="4" s="1"/>
  <c r="T40" i="4" a="1"/>
  <c r="T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T20" i="4" a="1"/>
  <c r="T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L34" i="4"/>
  <c r="N34" i="4" s="1"/>
  <c r="A35" i="4"/>
  <c r="T35" i="4" a="1"/>
  <c r="T35" i="4" s="1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T38" i="4" a="1"/>
  <c r="T38" i="4" s="1"/>
  <c r="AD38" i="4" s="1"/>
  <c r="L39" i="4"/>
  <c r="N39" i="4" s="1"/>
  <c r="M40" i="4"/>
  <c r="O40" i="4" s="1" a="1"/>
  <c r="O40" i="4" s="1"/>
  <c r="M41" i="4"/>
  <c r="O41" i="4" s="1" a="1"/>
  <c r="O41" i="4" s="1"/>
  <c r="A42" i="4"/>
  <c r="T42" i="4" a="1"/>
  <c r="T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I7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S2" i="4" l="1"/>
  <c r="T2" i="4" s="1" a="1"/>
  <c r="T2" i="4" s="1"/>
  <c r="Q2" i="4"/>
  <c r="U2" i="4" a="1"/>
  <c r="U2" i="4" s="1"/>
  <c r="L2" i="4"/>
  <c r="AD30" i="4"/>
  <c r="AD11" i="4"/>
  <c r="AD29" i="4"/>
  <c r="AD18" i="4"/>
  <c r="AD16" i="4"/>
  <c r="AD9" i="4"/>
  <c r="AD13" i="4"/>
  <c r="AD21" i="4"/>
  <c r="AD25" i="4"/>
  <c r="AD41" i="4"/>
  <c r="AD20" i="4"/>
  <c r="AD19" i="4"/>
  <c r="AD24" i="4"/>
  <c r="AD14" i="4"/>
  <c r="AD33" i="4"/>
  <c r="AD32" i="4"/>
  <c r="AD37" i="4"/>
  <c r="AD42" i="4"/>
  <c r="AD35" i="4"/>
  <c r="AD22" i="4"/>
  <c r="AD15" i="4"/>
  <c r="AD40" i="4"/>
  <c r="AD8" i="4"/>
  <c r="I9" i="1"/>
  <c r="AD34" i="4"/>
  <c r="AD10" i="4"/>
  <c r="AD3" i="4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D2" i="4"/>
  <c r="O22" i="1" s="1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L7" i="1" l="1" a="1"/>
  <c r="L7" i="1" s="1"/>
  <c r="L22" i="1" a="1"/>
  <c r="L22" i="1" s="1"/>
  <c r="K6" i="1" a="1"/>
  <c r="K6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23" i="4"/>
  <c r="K56" i="1" s="1" a="1"/>
  <c r="K56" i="1" s="1"/>
  <c r="K6" i="4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21" i="1" s="1" a="1"/>
  <c r="K21" i="1" s="1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K8" i="1" l="1" a="1"/>
  <c r="K8" i="1" s="1"/>
  <c r="K23" i="1" a="1"/>
  <c r="K23" i="1" s="1"/>
  <c r="K25" i="1" a="1"/>
  <c r="K25" i="1" s="1"/>
  <c r="K24" i="1" a="1"/>
  <c r="K24" i="1" s="1"/>
  <c r="K44" i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P81" i="1" a="1"/>
  <c r="P81" i="1" s="1"/>
  <c r="I2" i="8"/>
  <c r="K2" i="4" s="1"/>
  <c r="K7" i="1" s="1" a="1"/>
  <c r="K7" i="1" s="1"/>
  <c r="K33" i="1" l="1" a="1"/>
  <c r="K33" i="1" s="1"/>
  <c r="K22" i="1" a="1"/>
  <c r="K22" i="1" s="1"/>
  <c r="F15" i="13"/>
  <c r="D2" i="13"/>
  <c r="C2" i="13"/>
  <c r="E2" i="13"/>
  <c r="B2" i="13"/>
  <c r="Q26" i="1" a="1"/>
  <c r="Q26" i="1" s="1"/>
  <c r="Q57" i="1" a="1"/>
  <c r="Q57" i="1" s="1"/>
  <c r="Q33" i="1" a="1"/>
  <c r="Q33" i="1" s="1"/>
  <c r="Q81" i="1" a="1"/>
  <c r="Q81" i="1" s="1"/>
  <c r="K4" i="1" a="1"/>
  <c r="K4" i="1" s="1"/>
  <c r="K57" i="1" a="1"/>
  <c r="K57" i="1" s="1"/>
  <c r="H264" i="12"/>
  <c r="J249" i="12"/>
  <c r="J6" i="12"/>
  <c r="J400" i="12"/>
  <c r="K146" i="12"/>
  <c r="J398" i="12"/>
  <c r="K196" i="12"/>
  <c r="H426" i="12"/>
  <c r="J394" i="12"/>
  <c r="J317" i="12"/>
  <c r="J253" i="12"/>
  <c r="J285" i="12"/>
  <c r="K148" i="12"/>
  <c r="J365" i="12"/>
  <c r="K207" i="12"/>
  <c r="J124" i="12"/>
  <c r="H271" i="12"/>
  <c r="H178" i="12"/>
  <c r="K96" i="12"/>
  <c r="K234" i="12"/>
  <c r="H260" i="12"/>
  <c r="H90" i="12"/>
  <c r="H365" i="12"/>
  <c r="H100" i="12"/>
  <c r="J334" i="12"/>
  <c r="K166" i="12"/>
  <c r="H121" i="12"/>
  <c r="J51" i="12"/>
  <c r="H209" i="12"/>
  <c r="J25" i="12"/>
  <c r="H230" i="12"/>
  <c r="H428" i="12"/>
  <c r="K38" i="12"/>
  <c r="H353" i="12"/>
  <c r="K69" i="12"/>
  <c r="K186" i="12"/>
  <c r="J303" i="12"/>
  <c r="H200" i="12"/>
  <c r="H346" i="12"/>
  <c r="J98" i="12"/>
  <c r="J215" i="12"/>
  <c r="K77" i="12"/>
  <c r="H382" i="12"/>
  <c r="K35" i="12"/>
  <c r="J99" i="12"/>
  <c r="H256" i="12"/>
  <c r="H166" i="12"/>
  <c r="K151" i="12"/>
  <c r="H427" i="12"/>
  <c r="J375" i="12"/>
  <c r="K67" i="12"/>
  <c r="K65" i="12"/>
  <c r="K53" i="12"/>
  <c r="H310" i="12"/>
  <c r="H317" i="12"/>
  <c r="K66" i="12"/>
  <c r="J223" i="12"/>
  <c r="K177" i="12"/>
  <c r="J212" i="12"/>
  <c r="J139" i="12"/>
  <c r="J440" i="12"/>
  <c r="H62" i="12"/>
  <c r="J348" i="12"/>
  <c r="J380" i="12"/>
  <c r="J235" i="12"/>
  <c r="J173" i="12"/>
  <c r="K72" i="12"/>
  <c r="H143" i="12"/>
  <c r="J292" i="12"/>
  <c r="K173" i="12"/>
  <c r="J402" i="12"/>
  <c r="K224" i="12"/>
  <c r="J46" i="12"/>
  <c r="J344" i="12"/>
  <c r="H11" i="12"/>
  <c r="J115" i="12"/>
  <c r="J16" i="12"/>
  <c r="K223" i="12"/>
  <c r="H135" i="12"/>
  <c r="K172" i="12"/>
  <c r="J202" i="12"/>
  <c r="J87" i="12"/>
  <c r="H364" i="12"/>
  <c r="K193" i="12"/>
  <c r="J377" i="12"/>
  <c r="K45" i="12"/>
  <c r="H325" i="12"/>
  <c r="H48" i="12"/>
  <c r="J90" i="12"/>
  <c r="J193" i="12"/>
  <c r="J170" i="12"/>
  <c r="J304" i="12"/>
  <c r="K51" i="12"/>
  <c r="J378" i="12"/>
  <c r="J7" i="12"/>
  <c r="K155" i="12"/>
  <c r="J214" i="12"/>
  <c r="J177" i="12"/>
  <c r="K21" i="12"/>
  <c r="J178" i="12"/>
  <c r="J192" i="12"/>
  <c r="J41" i="12"/>
  <c r="H312" i="12"/>
  <c r="K55" i="12"/>
  <c r="J258" i="12"/>
  <c r="K81" i="12"/>
  <c r="K147" i="12"/>
  <c r="J35" i="12"/>
  <c r="J266" i="12"/>
  <c r="H297" i="12"/>
  <c r="J261" i="12"/>
  <c r="H223" i="12"/>
  <c r="H114" i="12"/>
  <c r="H245" i="12"/>
  <c r="J359" i="12"/>
  <c r="K213" i="12"/>
  <c r="H305" i="12"/>
  <c r="H361" i="12"/>
  <c r="J95" i="12"/>
  <c r="H185" i="12"/>
  <c r="J276" i="12"/>
  <c r="K93" i="12"/>
  <c r="J415" i="12"/>
  <c r="J8" i="12"/>
  <c r="J71" i="12"/>
  <c r="H370" i="12"/>
  <c r="H419" i="12"/>
  <c r="J134" i="12"/>
  <c r="H75" i="12"/>
  <c r="H73" i="12"/>
  <c r="J194" i="12"/>
  <c r="H12" i="12"/>
  <c r="H88" i="12"/>
  <c r="H38" i="12"/>
  <c r="H406" i="12"/>
  <c r="J39" i="12"/>
  <c r="K253" i="12"/>
  <c r="J228" i="12"/>
  <c r="J360" i="12"/>
  <c r="H65" i="12"/>
  <c r="J405" i="12"/>
  <c r="H202" i="12"/>
  <c r="J34" i="12"/>
  <c r="K189" i="12"/>
  <c r="J437" i="12"/>
  <c r="H170" i="12"/>
  <c r="H306" i="12"/>
  <c r="H220" i="12"/>
  <c r="K30" i="12"/>
  <c r="J123" i="12"/>
  <c r="J200" i="12"/>
  <c r="H279" i="12"/>
  <c r="K184" i="12"/>
  <c r="H267" i="12"/>
  <c r="K225" i="12"/>
  <c r="J129" i="12"/>
  <c r="J199" i="12"/>
  <c r="J364" i="12"/>
  <c r="J341" i="12"/>
  <c r="H387" i="12"/>
  <c r="H411" i="12"/>
  <c r="H76" i="12"/>
  <c r="H183" i="12"/>
  <c r="J321" i="12"/>
  <c r="H345" i="12"/>
  <c r="K64" i="12"/>
  <c r="H229" i="12"/>
  <c r="K102" i="12"/>
  <c r="J445" i="12"/>
  <c r="J102" i="12"/>
  <c r="J132" i="12"/>
  <c r="H215" i="12"/>
  <c r="H128" i="12"/>
  <c r="J208" i="12"/>
  <c r="J81" i="12"/>
  <c r="J155" i="12"/>
  <c r="J263" i="12"/>
  <c r="J243" i="12"/>
  <c r="J196" i="12"/>
  <c r="H393" i="12"/>
  <c r="H378" i="12"/>
  <c r="H123" i="12"/>
  <c r="H272" i="12"/>
  <c r="K176" i="12"/>
  <c r="H24" i="12"/>
  <c r="J420" i="12"/>
  <c r="H201" i="12"/>
  <c r="J384" i="12"/>
  <c r="H261" i="12"/>
  <c r="K92" i="12"/>
  <c r="H93" i="12"/>
  <c r="J429" i="12"/>
  <c r="J204" i="12"/>
  <c r="H216" i="12"/>
  <c r="H158" i="12"/>
  <c r="H257" i="12"/>
  <c r="H155" i="12"/>
  <c r="H199" i="12"/>
  <c r="H195" i="12"/>
  <c r="J413" i="12"/>
  <c r="H107" i="12"/>
  <c r="J337" i="12"/>
  <c r="J38" i="12"/>
  <c r="J418" i="12"/>
  <c r="J59" i="12"/>
  <c r="K39" i="12"/>
  <c r="H371" i="12"/>
  <c r="H401" i="12"/>
  <c r="H219" i="12"/>
  <c r="K3" i="12"/>
  <c r="H431" i="12"/>
  <c r="K185" i="12"/>
  <c r="K90" i="12"/>
  <c r="H308" i="12"/>
  <c r="J166" i="12"/>
  <c r="J190" i="12"/>
  <c r="J182" i="12"/>
  <c r="J86" i="12"/>
  <c r="K61" i="12"/>
  <c r="J157" i="12"/>
  <c r="K198" i="12"/>
  <c r="H396" i="12"/>
  <c r="J136" i="12"/>
  <c r="H334" i="12"/>
  <c r="H141" i="12"/>
  <c r="H357" i="12"/>
  <c r="H28" i="12"/>
  <c r="H105" i="12"/>
  <c r="H10" i="12"/>
  <c r="J252" i="12"/>
  <c r="J45" i="12"/>
  <c r="K138" i="12"/>
  <c r="J43" i="12"/>
  <c r="H56" i="12"/>
  <c r="J217" i="12"/>
  <c r="H259" i="12"/>
  <c r="J191" i="12"/>
  <c r="H222" i="12"/>
  <c r="K165" i="12"/>
  <c r="J2" i="12"/>
  <c r="J4" i="12"/>
  <c r="J416" i="12"/>
  <c r="H303" i="12"/>
  <c r="K229" i="12"/>
  <c r="H152" i="12"/>
  <c r="K54" i="12"/>
  <c r="K122" i="12"/>
  <c r="J183" i="12"/>
  <c r="J42" i="12"/>
  <c r="J5" i="12"/>
  <c r="J83" i="12"/>
  <c r="H234" i="12"/>
  <c r="J371" i="12"/>
  <c r="K17" i="12"/>
  <c r="H263" i="12"/>
  <c r="K100" i="12"/>
  <c r="H168" i="12"/>
  <c r="H332" i="12"/>
  <c r="J390" i="12"/>
  <c r="H71" i="12"/>
  <c r="K252" i="12"/>
  <c r="J58" i="12"/>
  <c r="J29" i="12"/>
  <c r="J272" i="12"/>
  <c r="H311" i="12"/>
  <c r="H197" i="12"/>
  <c r="J444" i="12"/>
  <c r="J442" i="12"/>
  <c r="J412" i="12"/>
  <c r="H179" i="12"/>
  <c r="J186" i="12"/>
  <c r="J141" i="12"/>
  <c r="H262" i="12"/>
  <c r="J245" i="12"/>
  <c r="K206" i="12"/>
  <c r="H156" i="12"/>
  <c r="H188" i="12"/>
  <c r="J408" i="12"/>
  <c r="J407" i="12"/>
  <c r="J381" i="12"/>
  <c r="H77" i="12"/>
  <c r="K19" i="12"/>
  <c r="J9" i="12"/>
  <c r="H72" i="12"/>
  <c r="K190" i="12"/>
  <c r="H210" i="12"/>
  <c r="H70" i="12"/>
  <c r="J28" i="12"/>
  <c r="J281" i="12"/>
  <c r="K22" i="12"/>
  <c r="J425" i="12"/>
  <c r="K4" i="12"/>
  <c r="J197" i="12"/>
  <c r="K152" i="12"/>
  <c r="H386" i="12"/>
  <c r="H237" i="12"/>
  <c r="H278" i="12"/>
  <c r="H273" i="12"/>
  <c r="H293" i="12"/>
  <c r="J109" i="12"/>
  <c r="H351" i="12"/>
  <c r="J103" i="12"/>
  <c r="K47" i="12"/>
  <c r="H148" i="12"/>
  <c r="K178" i="12"/>
  <c r="K135" i="12"/>
  <c r="H248" i="12"/>
  <c r="H408" i="12"/>
  <c r="K158" i="12"/>
  <c r="K202" i="12"/>
  <c r="H348" i="12"/>
  <c r="J332" i="12"/>
  <c r="H355" i="12"/>
  <c r="K235" i="12"/>
  <c r="H20" i="12"/>
  <c r="H186" i="12"/>
  <c r="H49" i="12"/>
  <c r="J283" i="12"/>
  <c r="H113" i="12"/>
  <c r="J64" i="12"/>
  <c r="J343" i="12"/>
  <c r="K36" i="12"/>
  <c r="K161" i="12"/>
  <c r="H19" i="12"/>
  <c r="J88" i="12"/>
  <c r="K153" i="12"/>
  <c r="J70" i="12"/>
  <c r="J430" i="12"/>
  <c r="K103" i="12"/>
  <c r="H375" i="12"/>
  <c r="H326" i="12"/>
  <c r="H94" i="12"/>
  <c r="J14" i="12"/>
  <c r="J446" i="12"/>
  <c r="J185" i="12"/>
  <c r="K117" i="12"/>
  <c r="H206" i="12"/>
  <c r="K171" i="12"/>
  <c r="J209" i="12"/>
  <c r="H2" i="12"/>
  <c r="H33" i="12"/>
  <c r="H180" i="12"/>
  <c r="J128" i="12"/>
  <c r="K169" i="12"/>
  <c r="K11" i="12"/>
  <c r="J302" i="12"/>
  <c r="H391" i="12"/>
  <c r="H198" i="12"/>
  <c r="K33" i="12"/>
  <c r="J188" i="12"/>
  <c r="H276" i="12"/>
  <c r="J55" i="12"/>
  <c r="H277" i="12"/>
  <c r="H344" i="12"/>
  <c r="H373" i="12"/>
  <c r="H162" i="12"/>
  <c r="K156" i="12"/>
  <c r="J121" i="12"/>
  <c r="J305" i="12"/>
  <c r="H82" i="12"/>
  <c r="K226" i="12"/>
  <c r="H385" i="12"/>
  <c r="K236" i="12"/>
  <c r="H177" i="12"/>
  <c r="H369" i="12"/>
  <c r="K143" i="12"/>
  <c r="H296" i="12"/>
  <c r="J22" i="12"/>
  <c r="H435" i="12"/>
  <c r="H383" i="12"/>
  <c r="K94" i="12"/>
  <c r="H350" i="12"/>
  <c r="H398" i="12"/>
  <c r="J203" i="12"/>
  <c r="J198" i="12"/>
  <c r="H47" i="12"/>
  <c r="H415" i="12"/>
  <c r="J237" i="12"/>
  <c r="H244" i="12"/>
  <c r="H133" i="12"/>
  <c r="J320" i="12"/>
  <c r="J373" i="12"/>
  <c r="J372" i="12"/>
  <c r="K115" i="12"/>
  <c r="K49" i="12"/>
  <c r="J409" i="12"/>
  <c r="K201" i="12"/>
  <c r="J397" i="12"/>
  <c r="K9" i="12"/>
  <c r="J255" i="12"/>
  <c r="J85" i="12"/>
  <c r="J424" i="12"/>
  <c r="H275" i="12"/>
  <c r="K112" i="12"/>
  <c r="H291" i="12"/>
  <c r="H292" i="12"/>
  <c r="K2" i="12"/>
  <c r="H294" i="12"/>
  <c r="H362" i="12"/>
  <c r="H363" i="12"/>
  <c r="J74" i="12"/>
  <c r="K32" i="12"/>
  <c r="J324" i="12"/>
  <c r="K134" i="12"/>
  <c r="H251" i="12"/>
  <c r="K136" i="12"/>
  <c r="K13" i="12"/>
  <c r="J15" i="12"/>
  <c r="K241" i="12"/>
  <c r="H253" i="12"/>
  <c r="J383" i="12"/>
  <c r="J47" i="12"/>
  <c r="H194" i="12"/>
  <c r="J130" i="12"/>
  <c r="K111" i="12"/>
  <c r="H86" i="12"/>
  <c r="J36" i="12"/>
  <c r="H174" i="12"/>
  <c r="J20" i="12"/>
  <c r="K104" i="12"/>
  <c r="H434" i="12"/>
  <c r="J441" i="12"/>
  <c r="K25" i="12"/>
  <c r="H27" i="12"/>
  <c r="K227" i="12"/>
  <c r="J117" i="12"/>
  <c r="K105" i="12"/>
  <c r="J84" i="12"/>
  <c r="J356" i="12"/>
  <c r="J270" i="12"/>
  <c r="K12" i="12"/>
  <c r="H381" i="12"/>
  <c r="J309" i="12"/>
  <c r="J164" i="12"/>
  <c r="H374" i="12"/>
  <c r="H268" i="12"/>
  <c r="K129" i="12"/>
  <c r="J206" i="12"/>
  <c r="J250" i="12"/>
  <c r="H112" i="12"/>
  <c r="K130" i="12"/>
  <c r="J233" i="12"/>
  <c r="H347" i="12"/>
  <c r="J385" i="12"/>
  <c r="K164" i="12"/>
  <c r="J290" i="12"/>
  <c r="J67" i="12"/>
  <c r="J366" i="12"/>
  <c r="H433" i="12"/>
  <c r="J431" i="12"/>
  <c r="J179" i="12"/>
  <c r="H119" i="12"/>
  <c r="J50" i="12"/>
  <c r="J114" i="12"/>
  <c r="J176" i="12"/>
  <c r="H176" i="12"/>
  <c r="H246" i="12"/>
  <c r="J145" i="12"/>
  <c r="H110" i="12"/>
  <c r="H404" i="12"/>
  <c r="H405" i="12"/>
  <c r="H144" i="12"/>
  <c r="K183" i="12"/>
  <c r="H30" i="12"/>
  <c r="K68" i="12"/>
  <c r="H330" i="12"/>
  <c r="J349" i="12"/>
  <c r="K29" i="12"/>
  <c r="K108" i="12"/>
  <c r="H140" i="12"/>
  <c r="J216" i="12"/>
  <c r="J175" i="12"/>
  <c r="J308" i="12"/>
  <c r="J142" i="12"/>
  <c r="H34" i="12"/>
  <c r="H339" i="12"/>
  <c r="J165" i="12"/>
  <c r="J351" i="12"/>
  <c r="H368" i="12"/>
  <c r="J147" i="12"/>
  <c r="J40" i="12"/>
  <c r="J169" i="12"/>
  <c r="K43" i="12"/>
  <c r="H377" i="12"/>
  <c r="J76" i="12"/>
  <c r="J401" i="12"/>
  <c r="J403" i="12"/>
  <c r="H157" i="12"/>
  <c r="K204" i="12"/>
  <c r="J172" i="12"/>
  <c r="H394" i="12"/>
  <c r="J300" i="12"/>
  <c r="J232" i="12"/>
  <c r="J368" i="12"/>
  <c r="H108" i="12"/>
  <c r="J328" i="12"/>
  <c r="J79" i="12"/>
  <c r="J414" i="12"/>
  <c r="H359" i="12"/>
  <c r="J125" i="12"/>
  <c r="J417" i="12"/>
  <c r="H60" i="12"/>
  <c r="J435" i="12"/>
  <c r="H211" i="12"/>
  <c r="H380" i="12"/>
  <c r="K31" i="12"/>
  <c r="J389" i="12"/>
  <c r="H295" i="12"/>
  <c r="J171" i="12"/>
  <c r="H111" i="12"/>
  <c r="H266" i="12"/>
  <c r="K75" i="12"/>
  <c r="H269" i="12"/>
  <c r="J357" i="12"/>
  <c r="H231" i="12"/>
  <c r="J44" i="12"/>
  <c r="H203" i="12"/>
  <c r="H43" i="12"/>
  <c r="K42" i="12"/>
  <c r="H167" i="12"/>
  <c r="H83" i="12"/>
  <c r="K239" i="12"/>
  <c r="J361" i="12"/>
  <c r="J411" i="12"/>
  <c r="J269" i="12"/>
  <c r="H403" i="12"/>
  <c r="J294" i="12"/>
  <c r="H249" i="12"/>
  <c r="K195" i="12"/>
  <c r="J225" i="12"/>
  <c r="J297" i="12"/>
  <c r="J354" i="12"/>
  <c r="K23" i="12"/>
  <c r="J433" i="12"/>
  <c r="J374" i="12"/>
  <c r="H233" i="12"/>
  <c r="K126" i="12"/>
  <c r="K217" i="12"/>
  <c r="H354" i="12"/>
  <c r="H22" i="12"/>
  <c r="H341" i="12"/>
  <c r="K168" i="12"/>
  <c r="J107" i="12"/>
  <c r="H241" i="12"/>
  <c r="J222" i="12"/>
  <c r="H239" i="12"/>
  <c r="K180" i="12"/>
  <c r="H322" i="12"/>
  <c r="H307" i="12"/>
  <c r="H137" i="12"/>
  <c r="H340" i="12"/>
  <c r="H139" i="12"/>
  <c r="J288" i="12"/>
  <c r="H189" i="12"/>
  <c r="K48" i="12"/>
  <c r="K123" i="12"/>
  <c r="K80" i="12"/>
  <c r="J273" i="12"/>
  <c r="K97" i="12"/>
  <c r="K162" i="12"/>
  <c r="K194" i="12"/>
  <c r="J267" i="12"/>
  <c r="J352" i="12"/>
  <c r="J242" i="12"/>
  <c r="J91" i="12"/>
  <c r="K199" i="12"/>
  <c r="J18" i="12"/>
  <c r="H242" i="12"/>
  <c r="H26" i="12"/>
  <c r="H356" i="12"/>
  <c r="J151" i="12"/>
  <c r="J162" i="12"/>
  <c r="J97" i="12"/>
  <c r="J323" i="12"/>
  <c r="K10" i="12"/>
  <c r="J49" i="12"/>
  <c r="H204" i="12"/>
  <c r="H372" i="12"/>
  <c r="H224" i="12"/>
  <c r="J174" i="12"/>
  <c r="H127" i="12"/>
  <c r="K139" i="12"/>
  <c r="J68" i="12"/>
  <c r="J207" i="12"/>
  <c r="K44" i="12"/>
  <c r="H151" i="12"/>
  <c r="H149" i="12"/>
  <c r="H342" i="12"/>
  <c r="H331" i="12"/>
  <c r="H255" i="12"/>
  <c r="J338" i="12"/>
  <c r="K141" i="12"/>
  <c r="H412" i="12"/>
  <c r="J105" i="12"/>
  <c r="J347" i="12"/>
  <c r="H379" i="12"/>
  <c r="J260" i="12"/>
  <c r="H97" i="12"/>
  <c r="J31" i="12"/>
  <c r="H420" i="12"/>
  <c r="K228" i="12"/>
  <c r="J342" i="12"/>
  <c r="J92" i="12"/>
  <c r="H131" i="12"/>
  <c r="J325" i="12"/>
  <c r="J278" i="12"/>
  <c r="K73" i="12"/>
  <c r="K56" i="12"/>
  <c r="J17" i="12"/>
  <c r="H99" i="12"/>
  <c r="H302" i="12"/>
  <c r="H74" i="12"/>
  <c r="K125" i="12"/>
  <c r="H432" i="12"/>
  <c r="K170" i="12"/>
  <c r="J89" i="12"/>
  <c r="H343" i="12"/>
  <c r="J339" i="12"/>
  <c r="K99" i="12"/>
  <c r="H323" i="12"/>
  <c r="H313" i="12"/>
  <c r="K74" i="12"/>
  <c r="H318" i="12"/>
  <c r="H181" i="12"/>
  <c r="J239" i="12"/>
  <c r="K212" i="12"/>
  <c r="K78" i="12"/>
  <c r="H321" i="12"/>
  <c r="H132" i="12"/>
  <c r="J311" i="12"/>
  <c r="H208" i="12"/>
  <c r="H101" i="12"/>
  <c r="H316" i="12"/>
  <c r="K101" i="12"/>
  <c r="J104" i="12"/>
  <c r="H42" i="12"/>
  <c r="K128" i="12"/>
  <c r="K251" i="12"/>
  <c r="H80" i="12"/>
  <c r="J218" i="12"/>
  <c r="H213" i="12"/>
  <c r="H125" i="12"/>
  <c r="H207" i="12"/>
  <c r="J24" i="12"/>
  <c r="J393" i="12"/>
  <c r="J322" i="12"/>
  <c r="H252" i="12"/>
  <c r="J110" i="12"/>
  <c r="K124" i="12"/>
  <c r="J135" i="12"/>
  <c r="J246" i="12"/>
  <c r="H225" i="12"/>
  <c r="J146" i="12"/>
  <c r="J26" i="12"/>
  <c r="K7" i="12"/>
  <c r="H104" i="12"/>
  <c r="J240" i="12"/>
  <c r="J80" i="12"/>
  <c r="K106" i="12"/>
  <c r="J152" i="12"/>
  <c r="H280" i="12"/>
  <c r="H129" i="12"/>
  <c r="H397" i="12"/>
  <c r="J213" i="12"/>
  <c r="J221" i="12"/>
  <c r="J387" i="12"/>
  <c r="K187" i="12"/>
  <c r="K210" i="12"/>
  <c r="H324" i="12"/>
  <c r="H191" i="12"/>
  <c r="K179" i="12"/>
  <c r="H115" i="12"/>
  <c r="H95" i="12"/>
  <c r="K82" i="12"/>
  <c r="K27" i="12"/>
  <c r="J376" i="12"/>
  <c r="H320" i="12"/>
  <c r="H184" i="12"/>
  <c r="H173" i="12"/>
  <c r="J133" i="12"/>
  <c r="J298" i="12"/>
  <c r="H23" i="12"/>
  <c r="J312" i="12"/>
  <c r="J32" i="12"/>
  <c r="H315" i="12"/>
  <c r="H117" i="12"/>
  <c r="J227" i="12"/>
  <c r="H106" i="12"/>
  <c r="J275" i="12"/>
  <c r="H130" i="12"/>
  <c r="J251" i="12"/>
  <c r="J113" i="12"/>
  <c r="H226" i="12"/>
  <c r="K219" i="12"/>
  <c r="J256" i="12"/>
  <c r="H124" i="12"/>
  <c r="H402" i="12"/>
  <c r="K88" i="12"/>
  <c r="K238" i="12"/>
  <c r="H50" i="12"/>
  <c r="H145" i="12"/>
  <c r="K41" i="12"/>
  <c r="H392" i="12"/>
  <c r="H399" i="12"/>
  <c r="H53" i="12"/>
  <c r="J226" i="12"/>
  <c r="J106" i="12"/>
  <c r="K150" i="12"/>
  <c r="J96" i="12"/>
  <c r="J432" i="12"/>
  <c r="J220" i="12"/>
  <c r="K86" i="12"/>
  <c r="J30" i="12"/>
  <c r="J37" i="12"/>
  <c r="K215" i="12"/>
  <c r="K188" i="12"/>
  <c r="H358" i="12"/>
  <c r="K52" i="12"/>
  <c r="H6" i="12"/>
  <c r="J257" i="12"/>
  <c r="J410" i="12"/>
  <c r="J61" i="12"/>
  <c r="J423" i="12"/>
  <c r="J358" i="12"/>
  <c r="H29" i="12"/>
  <c r="J149" i="12"/>
  <c r="J386" i="12"/>
  <c r="J277" i="12"/>
  <c r="K181" i="12"/>
  <c r="J238" i="12"/>
  <c r="K157" i="12"/>
  <c r="H218" i="12"/>
  <c r="K249" i="12"/>
  <c r="H360" i="12"/>
  <c r="J340" i="12"/>
  <c r="J13" i="12"/>
  <c r="J120" i="12"/>
  <c r="K59" i="12"/>
  <c r="J111" i="12"/>
  <c r="H430" i="12"/>
  <c r="J346" i="12"/>
  <c r="J396" i="12"/>
  <c r="J163" i="12"/>
  <c r="H142" i="12"/>
  <c r="H68" i="12"/>
  <c r="K218" i="12"/>
  <c r="H395" i="12"/>
  <c r="H418" i="12"/>
  <c r="K84" i="12"/>
  <c r="H160" i="12"/>
  <c r="H287" i="12"/>
  <c r="K40" i="12"/>
  <c r="K89" i="12"/>
  <c r="K87" i="12"/>
  <c r="K214" i="12"/>
  <c r="J127" i="12"/>
  <c r="H31" i="12"/>
  <c r="H384" i="12"/>
  <c r="H274" i="12"/>
  <c r="J94" i="12"/>
  <c r="J395" i="12"/>
  <c r="J60" i="12"/>
  <c r="K142" i="12"/>
  <c r="K240" i="12"/>
  <c r="H3" i="12"/>
  <c r="J201" i="12"/>
  <c r="J291" i="12"/>
  <c r="H35" i="12"/>
  <c r="J379" i="12"/>
  <c r="J426" i="12"/>
  <c r="J78" i="12"/>
  <c r="K119" i="12"/>
  <c r="J264" i="12"/>
  <c r="J271" i="12"/>
  <c r="H328" i="12"/>
  <c r="J274" i="12"/>
  <c r="J319" i="12"/>
  <c r="H63" i="12"/>
  <c r="H21" i="12"/>
  <c r="H240" i="12"/>
  <c r="J248" i="12"/>
  <c r="H299" i="12"/>
  <c r="H409" i="12"/>
  <c r="J404" i="12"/>
  <c r="H327" i="12"/>
  <c r="J234" i="12"/>
  <c r="H254" i="12"/>
  <c r="H102" i="12"/>
  <c r="K28" i="12"/>
  <c r="J286" i="12"/>
  <c r="H25" i="12"/>
  <c r="H376" i="12"/>
  <c r="K70" i="12"/>
  <c r="J189" i="12"/>
  <c r="J388" i="12"/>
  <c r="J280" i="12"/>
  <c r="H270" i="12"/>
  <c r="H235" i="12"/>
  <c r="J112" i="12"/>
  <c r="J310" i="12"/>
  <c r="J362" i="12"/>
  <c r="H319" i="12"/>
  <c r="K63" i="12"/>
  <c r="J211" i="12"/>
  <c r="K203" i="12"/>
  <c r="J180" i="12"/>
  <c r="K216" i="12"/>
  <c r="H196" i="12"/>
  <c r="K8" i="12"/>
  <c r="K71" i="12"/>
  <c r="H89" i="12"/>
  <c r="H421" i="12"/>
  <c r="H154" i="12"/>
  <c r="H232" i="12"/>
  <c r="J434" i="12"/>
  <c r="H92" i="12"/>
  <c r="J326" i="12"/>
  <c r="K250" i="12"/>
  <c r="H122" i="12"/>
  <c r="K57" i="12"/>
  <c r="H301" i="12"/>
  <c r="K16" i="12"/>
  <c r="K175" i="12"/>
  <c r="H37" i="12"/>
  <c r="H338" i="12"/>
  <c r="K233" i="12"/>
  <c r="J72" i="12"/>
  <c r="H15" i="12"/>
  <c r="K95" i="12"/>
  <c r="J353" i="12"/>
  <c r="H32" i="12"/>
  <c r="H52" i="12"/>
  <c r="H424" i="12"/>
  <c r="H436" i="12"/>
  <c r="K85" i="12"/>
  <c r="H193" i="12"/>
  <c r="H40" i="12"/>
  <c r="J231" i="12"/>
  <c r="K167" i="12"/>
  <c r="J57" i="12"/>
  <c r="H14" i="12"/>
  <c r="H64" i="12"/>
  <c r="H85" i="12"/>
  <c r="K220" i="12"/>
  <c r="K50" i="12"/>
  <c r="H153" i="12"/>
  <c r="H304" i="12"/>
  <c r="K230" i="12"/>
  <c r="J296" i="12"/>
  <c r="J63" i="12"/>
  <c r="H288" i="12"/>
  <c r="J236" i="12"/>
  <c r="J205" i="12"/>
  <c r="J159" i="12"/>
  <c r="J154" i="12"/>
  <c r="J62" i="12"/>
  <c r="K154" i="12"/>
  <c r="J265" i="12"/>
  <c r="K18" i="12"/>
  <c r="K197" i="12"/>
  <c r="J419" i="12"/>
  <c r="K163" i="12"/>
  <c r="H227" i="12"/>
  <c r="H109" i="12"/>
  <c r="H298" i="12"/>
  <c r="J140" i="12"/>
  <c r="K46" i="12"/>
  <c r="J160" i="12"/>
  <c r="K91" i="12"/>
  <c r="K174" i="12"/>
  <c r="H281" i="12"/>
  <c r="J53" i="12"/>
  <c r="H87" i="12"/>
  <c r="J229" i="12"/>
  <c r="J406" i="12"/>
  <c r="H335" i="12"/>
  <c r="K109" i="12"/>
  <c r="H159" i="12"/>
  <c r="K232" i="12"/>
  <c r="J167" i="12"/>
  <c r="K243" i="12"/>
  <c r="K237" i="12"/>
  <c r="H349" i="12"/>
  <c r="J284" i="12"/>
  <c r="J336" i="12"/>
  <c r="H172" i="12"/>
  <c r="H103" i="12"/>
  <c r="J156" i="12"/>
  <c r="K24" i="12"/>
  <c r="J19" i="12"/>
  <c r="K205" i="12"/>
  <c r="J259" i="12"/>
  <c r="H126" i="12"/>
  <c r="K15" i="12"/>
  <c r="H190" i="12"/>
  <c r="H164" i="12"/>
  <c r="J289" i="12"/>
  <c r="H16" i="12"/>
  <c r="K76" i="12"/>
  <c r="J143" i="12"/>
  <c r="J335" i="12"/>
  <c r="J161" i="12"/>
  <c r="K5" i="12"/>
  <c r="H44" i="12"/>
  <c r="H17" i="12"/>
  <c r="J307" i="12"/>
  <c r="H250" i="12"/>
  <c r="J12" i="12"/>
  <c r="H258" i="12"/>
  <c r="J119" i="12"/>
  <c r="K118" i="12"/>
  <c r="J69" i="12"/>
  <c r="H336" i="12"/>
  <c r="H352" i="12"/>
  <c r="K127" i="12"/>
  <c r="K98" i="12"/>
  <c r="H283" i="12"/>
  <c r="J116" i="12"/>
  <c r="J318" i="12"/>
  <c r="H286" i="12"/>
  <c r="H96" i="12"/>
  <c r="J52" i="12"/>
  <c r="H410" i="12"/>
  <c r="K191" i="12"/>
  <c r="J56" i="12"/>
  <c r="J48" i="12"/>
  <c r="K247" i="12"/>
  <c r="J66" i="12"/>
  <c r="J210" i="12"/>
  <c r="H236" i="12"/>
  <c r="J93" i="12"/>
  <c r="K144" i="12"/>
  <c r="J439" i="12"/>
  <c r="H134" i="12"/>
  <c r="J21" i="12"/>
  <c r="H98" i="12"/>
  <c r="H265" i="12"/>
  <c r="J316" i="12"/>
  <c r="H413" i="12"/>
  <c r="H138" i="12"/>
  <c r="K246" i="12"/>
  <c r="H284" i="12"/>
  <c r="H18" i="12"/>
  <c r="J392" i="12"/>
  <c r="K222" i="12"/>
  <c r="J65" i="12"/>
  <c r="H150" i="12"/>
  <c r="H39" i="12"/>
  <c r="J150" i="12"/>
  <c r="H187" i="12"/>
  <c r="K132" i="12"/>
  <c r="K221" i="12"/>
  <c r="H205" i="12"/>
  <c r="H57" i="12"/>
  <c r="H161" i="12"/>
  <c r="H423" i="12"/>
  <c r="H400" i="12"/>
  <c r="J443" i="12"/>
  <c r="J126" i="12"/>
  <c r="J184" i="12"/>
  <c r="H300" i="12"/>
  <c r="H51" i="12"/>
  <c r="J330" i="12"/>
  <c r="J108" i="12"/>
  <c r="H416" i="12"/>
  <c r="H120" i="12"/>
  <c r="H290" i="12"/>
  <c r="H337" i="12"/>
  <c r="K192" i="12"/>
  <c r="J367" i="12"/>
  <c r="J118" i="12"/>
  <c r="K79" i="12"/>
  <c r="K113" i="12"/>
  <c r="H165" i="12"/>
  <c r="J148" i="12"/>
  <c r="J287" i="12"/>
  <c r="K121" i="12"/>
  <c r="J158" i="12"/>
  <c r="H9" i="12"/>
  <c r="H389" i="12"/>
  <c r="H414" i="12"/>
  <c r="J82" i="12"/>
  <c r="H367" i="12"/>
  <c r="K58" i="12"/>
  <c r="H46" i="12"/>
  <c r="H289" i="12"/>
  <c r="H212" i="12"/>
  <c r="J428" i="12"/>
  <c r="J382" i="12"/>
  <c r="J345" i="12"/>
  <c r="K83" i="12"/>
  <c r="J279" i="12"/>
  <c r="H8" i="12"/>
  <c r="J421" i="12"/>
  <c r="J244" i="12"/>
  <c r="H36" i="12"/>
  <c r="H66" i="12"/>
  <c r="J181" i="12"/>
  <c r="H169" i="12"/>
  <c r="K231" i="12"/>
  <c r="J224" i="12"/>
  <c r="J122" i="12"/>
  <c r="H333" i="12"/>
  <c r="J427" i="12"/>
  <c r="H422" i="12"/>
  <c r="H61" i="12"/>
  <c r="J333" i="12"/>
  <c r="J27" i="12"/>
  <c r="K116" i="12"/>
  <c r="H243" i="12"/>
  <c r="H69" i="12"/>
  <c r="H116" i="12"/>
  <c r="J241" i="12"/>
  <c r="J187" i="12"/>
  <c r="K242" i="12"/>
  <c r="K110" i="12"/>
  <c r="K20" i="12"/>
  <c r="J10" i="12"/>
  <c r="J355" i="12"/>
  <c r="H84" i="12"/>
  <c r="H388" i="12"/>
  <c r="H7" i="12"/>
  <c r="J329" i="12"/>
  <c r="K34" i="12"/>
  <c r="H366" i="12"/>
  <c r="H59" i="12"/>
  <c r="J23" i="12"/>
  <c r="H238" i="12"/>
  <c r="H407" i="12"/>
  <c r="J301" i="12"/>
  <c r="K209" i="12"/>
  <c r="H417" i="12"/>
  <c r="H192" i="12"/>
  <c r="H175" i="12"/>
  <c r="K133" i="12"/>
  <c r="K211" i="12"/>
  <c r="H67" i="12"/>
  <c r="J262" i="12"/>
  <c r="H91" i="12"/>
  <c r="J54" i="12"/>
  <c r="H314" i="12"/>
  <c r="H163" i="12"/>
  <c r="J219" i="12"/>
  <c r="J11" i="12"/>
  <c r="K120" i="12"/>
  <c r="K131" i="12"/>
  <c r="K60" i="12"/>
  <c r="J313" i="12"/>
  <c r="J77" i="12"/>
  <c r="J153" i="12"/>
  <c r="J138" i="12"/>
  <c r="H5" i="12"/>
  <c r="J3" i="12"/>
  <c r="H55" i="12"/>
  <c r="H54" i="12"/>
  <c r="J230" i="12"/>
  <c r="H171" i="12"/>
  <c r="H228" i="12"/>
  <c r="K245" i="12"/>
  <c r="H285" i="12"/>
  <c r="J195" i="12"/>
  <c r="H390" i="12"/>
  <c r="J350" i="12"/>
  <c r="H58" i="12"/>
  <c r="K26" i="12"/>
  <c r="J436" i="12"/>
  <c r="H81" i="12"/>
  <c r="J295" i="12"/>
  <c r="H425" i="12"/>
  <c r="K62" i="12"/>
  <c r="J247" i="12"/>
  <c r="H118" i="12"/>
  <c r="H309" i="12"/>
  <c r="K145" i="12"/>
  <c r="J131" i="12"/>
  <c r="K248" i="12"/>
  <c r="J101" i="12"/>
  <c r="J306" i="12"/>
  <c r="J282" i="12"/>
  <c r="K137" i="12"/>
  <c r="J33" i="12"/>
  <c r="J327" i="12"/>
  <c r="J391" i="12"/>
  <c r="K107" i="12"/>
  <c r="J293" i="12"/>
  <c r="H45" i="12"/>
  <c r="J73" i="12"/>
  <c r="H4" i="12"/>
  <c r="J315" i="12"/>
  <c r="K37" i="12"/>
  <c r="K14" i="12"/>
  <c r="H221" i="12"/>
  <c r="H247" i="12"/>
  <c r="J422" i="12"/>
  <c r="H78" i="12"/>
  <c r="K160" i="12"/>
  <c r="J370" i="12"/>
  <c r="J369" i="12"/>
  <c r="K244" i="12"/>
  <c r="H329" i="12"/>
  <c r="H79" i="12"/>
  <c r="K200" i="12"/>
  <c r="J314" i="12"/>
  <c r="J363" i="12"/>
  <c r="J331" i="12"/>
  <c r="H13" i="12"/>
  <c r="K159" i="12"/>
  <c r="K149" i="12"/>
  <c r="J168" i="12"/>
  <c r="J399" i="12"/>
  <c r="J100" i="12"/>
  <c r="H217" i="12"/>
  <c r="H429" i="12"/>
  <c r="K6" i="12"/>
  <c r="K114" i="12"/>
  <c r="J438" i="12"/>
  <c r="J144" i="12"/>
  <c r="H146" i="12"/>
  <c r="H147" i="12"/>
  <c r="J75" i="12"/>
  <c r="H136" i="12"/>
  <c r="H182" i="12"/>
  <c r="K182" i="12"/>
  <c r="J254" i="12"/>
  <c r="J137" i="12"/>
  <c r="K208" i="12"/>
  <c r="K140" i="12"/>
  <c r="J268" i="12"/>
  <c r="J299" i="12"/>
  <c r="H282" i="12"/>
  <c r="H41" i="12"/>
  <c r="H214" i="12"/>
  <c r="I41" i="12" l="1" a="1"/>
  <c r="I41" i="12" s="1"/>
  <c r="M140" i="12" a="1"/>
  <c r="M140" i="12" s="1"/>
  <c r="M208" i="12" a="1"/>
  <c r="M208" i="12" s="1"/>
  <c r="L137" i="12" a="1"/>
  <c r="L137" i="12" s="1"/>
  <c r="M182" i="12" a="1"/>
  <c r="M182" i="12" s="1"/>
  <c r="L75" i="12" a="1"/>
  <c r="L75" i="12" s="1"/>
  <c r="L144" i="12" a="1"/>
  <c r="L144" i="12" s="1"/>
  <c r="M114" i="12" a="1"/>
  <c r="M114" i="12" s="1"/>
  <c r="M6" i="12" a="1"/>
  <c r="M6" i="12" s="1"/>
  <c r="L100" i="12" a="1"/>
  <c r="L100" i="12" s="1"/>
  <c r="L168" i="12" a="1"/>
  <c r="L168" i="12" s="1"/>
  <c r="M149" i="12" a="1"/>
  <c r="M149" i="12" s="1"/>
  <c r="M159" i="12" a="1"/>
  <c r="M159" i="12" s="1"/>
  <c r="I13" i="12" a="1"/>
  <c r="I13" i="12" s="1"/>
  <c r="M200" i="12" a="1"/>
  <c r="M200" i="12" s="1"/>
  <c r="I79" i="12" a="1"/>
  <c r="I79" i="12" s="1"/>
  <c r="M160" i="12" a="1"/>
  <c r="M160" i="12" s="1"/>
  <c r="I78" i="12" a="1"/>
  <c r="I78" i="12" s="1"/>
  <c r="M14" i="12" a="1"/>
  <c r="M14" i="12" s="1"/>
  <c r="M37" i="12" a="1"/>
  <c r="M37" i="12" s="1"/>
  <c r="I4" i="12" a="1"/>
  <c r="I4" i="12" s="1"/>
  <c r="L73" i="12" a="1"/>
  <c r="L73" i="12" s="1"/>
  <c r="I45" i="12" a="1"/>
  <c r="I45" i="12" s="1"/>
  <c r="M107" i="12" a="1"/>
  <c r="M107" i="12" s="1"/>
  <c r="L33" i="12" a="1"/>
  <c r="L33" i="12" s="1"/>
  <c r="M137" i="12" a="1"/>
  <c r="M137" i="12" s="1"/>
  <c r="L101" i="12" a="1"/>
  <c r="L101" i="12" s="1"/>
  <c r="L131" i="12" a="1"/>
  <c r="L131" i="12" s="1"/>
  <c r="M145" i="12" a="1"/>
  <c r="M145" i="12" s="1"/>
  <c r="L247" i="12" a="1"/>
  <c r="L247" i="12" s="1"/>
  <c r="M62" i="12" a="1"/>
  <c r="M62" i="12" s="1"/>
  <c r="I81" i="12" a="1"/>
  <c r="I81" i="12" s="1"/>
  <c r="M26" i="12" a="1"/>
  <c r="M26" i="12" s="1"/>
  <c r="I58" i="12" a="1"/>
  <c r="I58" i="12" s="1"/>
  <c r="L195" i="12" a="1"/>
  <c r="L195" i="12" s="1"/>
  <c r="L230" i="12" a="1"/>
  <c r="L230" i="12" s="1"/>
  <c r="I54" i="12" a="1"/>
  <c r="I54" i="12" s="1"/>
  <c r="I55" i="12" a="1"/>
  <c r="I55" i="12" s="1"/>
  <c r="L3" i="12" a="1"/>
  <c r="L3" i="12" s="1"/>
  <c r="I5" i="12" a="1"/>
  <c r="I5" i="12" s="1"/>
  <c r="L138" i="12" a="1"/>
  <c r="L138" i="12" s="1"/>
  <c r="L153" i="12" a="1"/>
  <c r="L153" i="12" s="1"/>
  <c r="L77" i="12" a="1"/>
  <c r="L77" i="12" s="1"/>
  <c r="M60" i="12" a="1"/>
  <c r="M60" i="12" s="1"/>
  <c r="M131" i="12" a="1"/>
  <c r="M131" i="12" s="1"/>
  <c r="M120" i="12" a="1"/>
  <c r="M120" i="12" s="1"/>
  <c r="L11" i="12" a="1"/>
  <c r="L11" i="12" s="1"/>
  <c r="L219" i="12" a="1"/>
  <c r="L219" i="12" s="1"/>
  <c r="L54" i="12" a="1"/>
  <c r="L54" i="12" s="1"/>
  <c r="I91" i="12" a="1"/>
  <c r="I91" i="12" s="1"/>
  <c r="I67" i="12" a="1"/>
  <c r="I67" i="12" s="1"/>
  <c r="M211" i="12" a="1"/>
  <c r="M211" i="12" s="1"/>
  <c r="M133" i="12" a="1"/>
  <c r="M133" i="12" s="1"/>
  <c r="M209" i="12" a="1"/>
  <c r="M209" i="12" s="1"/>
  <c r="L23" i="12" a="1"/>
  <c r="L23" i="12" s="1"/>
  <c r="I59" i="12" a="1"/>
  <c r="I59" i="12" s="1"/>
  <c r="M34" i="12" a="1"/>
  <c r="M34" i="12" s="1"/>
  <c r="I7" i="12" a="1"/>
  <c r="I7" i="12" s="1"/>
  <c r="I84" i="12" a="1"/>
  <c r="I84" i="12" s="1"/>
  <c r="L10" i="12" a="1"/>
  <c r="L10" i="12" s="1"/>
  <c r="M20" i="12" a="1"/>
  <c r="M20" i="12" s="1"/>
  <c r="M110" i="12" a="1"/>
  <c r="M110" i="12" s="1"/>
  <c r="L187" i="12" a="1"/>
  <c r="L187" i="12" s="1"/>
  <c r="L241" i="12" a="1"/>
  <c r="L241" i="12" s="1"/>
  <c r="I69" i="12" a="1"/>
  <c r="I69" i="12" s="1"/>
  <c r="M116" i="12" a="1"/>
  <c r="M116" i="12" s="1"/>
  <c r="L27" i="12" a="1"/>
  <c r="L27" i="12" s="1"/>
  <c r="I61" i="12" a="1"/>
  <c r="I61" i="12" s="1"/>
  <c r="L122" i="12" a="1"/>
  <c r="L122" i="12" s="1"/>
  <c r="L224" i="12" a="1"/>
  <c r="L224" i="12" s="1"/>
  <c r="M231" i="12" a="1"/>
  <c r="M231" i="12" s="1"/>
  <c r="L181" i="12" a="1"/>
  <c r="L181" i="12" s="1"/>
  <c r="I66" i="12" a="1"/>
  <c r="I66" i="12" s="1"/>
  <c r="I36" i="12" a="1"/>
  <c r="I36" i="12" s="1"/>
  <c r="L244" i="12" a="1"/>
  <c r="L244" i="12" s="1"/>
  <c r="I8" i="12" a="1"/>
  <c r="I8" i="12" s="1"/>
  <c r="M83" i="12" a="1"/>
  <c r="M83" i="12" s="1"/>
  <c r="I46" i="12" a="1"/>
  <c r="I46" i="12" s="1"/>
  <c r="M58" i="12" a="1"/>
  <c r="M58" i="12" s="1"/>
  <c r="L82" i="12" a="1"/>
  <c r="L82" i="12" s="1"/>
  <c r="I9" i="12" a="1"/>
  <c r="I9" i="12" s="1"/>
  <c r="L158" i="12" a="1"/>
  <c r="L158" i="12" s="1"/>
  <c r="M121" i="12" a="1"/>
  <c r="M121" i="12" s="1"/>
  <c r="L148" i="12" a="1"/>
  <c r="L148" i="12" s="1"/>
  <c r="M113" i="12" a="1"/>
  <c r="M113" i="12" s="1"/>
  <c r="M79" i="12" a="1"/>
  <c r="M79" i="12" s="1"/>
  <c r="L118" i="12" a="1"/>
  <c r="L118" i="12" s="1"/>
  <c r="M192" i="12" a="1"/>
  <c r="M192" i="12" s="1"/>
  <c r="L108" i="12" a="1"/>
  <c r="L108" i="12" s="1"/>
  <c r="I51" i="12" a="1"/>
  <c r="I51" i="12" s="1"/>
  <c r="L184" i="12" a="1"/>
  <c r="L184" i="12" s="1"/>
  <c r="L126" i="12" a="1"/>
  <c r="L126" i="12" s="1"/>
  <c r="I57" i="12" a="1"/>
  <c r="I57" i="12" s="1"/>
  <c r="M221" i="12" a="1"/>
  <c r="M221" i="12" s="1"/>
  <c r="M132" i="12" a="1"/>
  <c r="M132" i="12" s="1"/>
  <c r="L150" i="12" a="1"/>
  <c r="L150" i="12" s="1"/>
  <c r="I39" i="12" a="1"/>
  <c r="I39" i="12" s="1"/>
  <c r="L65" i="12" a="1"/>
  <c r="L65" i="12" s="1"/>
  <c r="M222" i="12" a="1"/>
  <c r="M222" i="12" s="1"/>
  <c r="I18" i="12" a="1"/>
  <c r="I18" i="12" s="1"/>
  <c r="I98" i="12" a="1"/>
  <c r="I98" i="12" s="1"/>
  <c r="L21" i="12" a="1"/>
  <c r="L21" i="12" s="1"/>
  <c r="M144" i="12" a="1"/>
  <c r="M144" i="12" s="1"/>
  <c r="L93" i="12" a="1"/>
  <c r="L93" i="12" s="1"/>
  <c r="L210" i="12" a="1"/>
  <c r="L210" i="12" s="1"/>
  <c r="L66" i="12" a="1"/>
  <c r="L66" i="12" s="1"/>
  <c r="L48" i="12" a="1"/>
  <c r="L48" i="12" s="1"/>
  <c r="L56" i="12" a="1"/>
  <c r="L56" i="12" s="1"/>
  <c r="M191" i="12" a="1"/>
  <c r="M191" i="12" s="1"/>
  <c r="L52" i="12" a="1"/>
  <c r="L52" i="12" s="1"/>
  <c r="I96" i="12" a="1"/>
  <c r="I96" i="12" s="1"/>
  <c r="L116" i="12" a="1"/>
  <c r="L116" i="12" s="1"/>
  <c r="M98" i="12" a="1"/>
  <c r="M98" i="12" s="1"/>
  <c r="M127" i="12" a="1"/>
  <c r="M127" i="12" s="1"/>
  <c r="L69" i="12" a="1"/>
  <c r="L69" i="12" s="1"/>
  <c r="M118" i="12" a="1"/>
  <c r="M118" i="12" s="1"/>
  <c r="L119" i="12" a="1"/>
  <c r="L119" i="12" s="1"/>
  <c r="L12" i="12" a="1"/>
  <c r="L12" i="12" s="1"/>
  <c r="I17" i="12" a="1"/>
  <c r="I17" i="12" s="1"/>
  <c r="AE7" i="4" s="1"/>
  <c r="I44" i="12" a="1"/>
  <c r="I44" i="12" s="1"/>
  <c r="M5" i="12" a="1"/>
  <c r="M5" i="12" s="1"/>
  <c r="L161" i="12" a="1"/>
  <c r="L161" i="12" s="1"/>
  <c r="L143" i="12" a="1"/>
  <c r="L143" i="12" s="1"/>
  <c r="M76" i="12" a="1"/>
  <c r="M76" i="12" s="1"/>
  <c r="I16" i="12" a="1"/>
  <c r="I16" i="12" s="1"/>
  <c r="M15" i="12" a="1"/>
  <c r="M15" i="12" s="1"/>
  <c r="M205" i="12" a="1"/>
  <c r="M205" i="12" s="1"/>
  <c r="L19" i="12" a="1"/>
  <c r="L19" i="12" s="1"/>
  <c r="M24" i="12" a="1"/>
  <c r="M24" i="12" s="1"/>
  <c r="L156" i="12" a="1"/>
  <c r="L156" i="12" s="1"/>
  <c r="L167" i="12" a="1"/>
  <c r="L167" i="12" s="1"/>
  <c r="M232" i="12" a="1"/>
  <c r="M232" i="12" s="1"/>
  <c r="M109" i="12" a="1"/>
  <c r="M109" i="12" s="1"/>
  <c r="L229" i="12" a="1"/>
  <c r="L229" i="12" s="1"/>
  <c r="I87" i="12" a="1"/>
  <c r="I87" i="12" s="1"/>
  <c r="L53" i="12" a="1"/>
  <c r="L53" i="12" s="1"/>
  <c r="M174" i="12" a="1"/>
  <c r="M174" i="12" s="1"/>
  <c r="M91" i="12" a="1"/>
  <c r="M91" i="12" s="1"/>
  <c r="L160" i="12" a="1"/>
  <c r="L160" i="12" s="1"/>
  <c r="M46" i="12" a="1"/>
  <c r="M46" i="12" s="1"/>
  <c r="L140" i="12" a="1"/>
  <c r="L140" i="12" s="1"/>
  <c r="M163" i="12" a="1"/>
  <c r="M163" i="12" s="1"/>
  <c r="M197" i="12" a="1"/>
  <c r="M197" i="12" s="1"/>
  <c r="M18" i="12" a="1"/>
  <c r="M18" i="12" s="1"/>
  <c r="M154" i="12" a="1"/>
  <c r="M154" i="12" s="1"/>
  <c r="L62" i="12" a="1"/>
  <c r="L62" i="12" s="1"/>
  <c r="L154" i="12" a="1"/>
  <c r="L154" i="12" s="1"/>
  <c r="L159" i="12" a="1"/>
  <c r="L159" i="12" s="1"/>
  <c r="L205" i="12" a="1"/>
  <c r="L205" i="12" s="1"/>
  <c r="L236" i="12" a="1"/>
  <c r="L236" i="12" s="1"/>
  <c r="L63" i="12" a="1"/>
  <c r="L63" i="12" s="1"/>
  <c r="M230" i="12" a="1"/>
  <c r="M230" i="12" s="1"/>
  <c r="M50" i="12" a="1"/>
  <c r="M50" i="12" s="1"/>
  <c r="M220" i="12" a="1"/>
  <c r="M220" i="12" s="1"/>
  <c r="I85" i="12" a="1"/>
  <c r="I85" i="12" s="1"/>
  <c r="I64" i="12" a="1"/>
  <c r="I64" i="12" s="1"/>
  <c r="I14" i="12" a="1"/>
  <c r="I14" i="12" s="1"/>
  <c r="L57" i="12" a="1"/>
  <c r="L57" i="12" s="1"/>
  <c r="M167" i="12" a="1"/>
  <c r="M167" i="12" s="1"/>
  <c r="L231" i="12" a="1"/>
  <c r="L231" i="12" s="1"/>
  <c r="I40" i="12" a="1"/>
  <c r="I40" i="12" s="1"/>
  <c r="M85" i="12" a="1"/>
  <c r="M85" i="12" s="1"/>
  <c r="I52" i="12" a="1"/>
  <c r="I52" i="12" s="1"/>
  <c r="I32" i="12" a="1"/>
  <c r="I32" i="12" s="1"/>
  <c r="M95" i="12" a="1"/>
  <c r="M95" i="12" s="1"/>
  <c r="I15" i="12" a="1"/>
  <c r="I15" i="12" s="1"/>
  <c r="L72" i="12" a="1"/>
  <c r="L72" i="12" s="1"/>
  <c r="M233" i="12" a="1"/>
  <c r="M233" i="12" s="1"/>
  <c r="I37" i="12" a="1"/>
  <c r="I37" i="12" s="1"/>
  <c r="M175" i="12" a="1"/>
  <c r="M175" i="12" s="1"/>
  <c r="M16" i="12" a="1"/>
  <c r="M16" i="12" s="1"/>
  <c r="M57" i="12" a="1"/>
  <c r="M57" i="12" s="1"/>
  <c r="I92" i="12" a="1"/>
  <c r="I92" i="12" s="1"/>
  <c r="I89" i="12" a="1"/>
  <c r="I89" i="12" s="1"/>
  <c r="M71" i="12" a="1"/>
  <c r="M71" i="12" s="1"/>
  <c r="M8" i="12" a="1"/>
  <c r="M8" i="12" s="1"/>
  <c r="M216" i="12" a="1"/>
  <c r="M216" i="12" s="1"/>
  <c r="L180" i="12" a="1"/>
  <c r="L180" i="12" s="1"/>
  <c r="M203" i="12" a="1"/>
  <c r="M203" i="12" s="1"/>
  <c r="L211" i="12" a="1"/>
  <c r="L211" i="12" s="1"/>
  <c r="M63" i="12" a="1"/>
  <c r="M63" i="12" s="1"/>
  <c r="L112" i="12" a="1"/>
  <c r="L112" i="12" s="1"/>
  <c r="L189" i="12" a="1"/>
  <c r="L189" i="12" s="1"/>
  <c r="M70" i="12" a="1"/>
  <c r="M70" i="12" s="1"/>
  <c r="I25" i="12" a="1"/>
  <c r="I25" i="12" s="1"/>
  <c r="M28" i="12" a="1"/>
  <c r="M28" i="12" s="1"/>
  <c r="L234" i="12" a="1"/>
  <c r="L234" i="12" s="1"/>
  <c r="L248" i="12" a="1"/>
  <c r="L248" i="12" s="1"/>
  <c r="I21" i="12" a="1"/>
  <c r="I21" i="12" s="1"/>
  <c r="I63" i="12" a="1"/>
  <c r="I63" i="12" s="1"/>
  <c r="M119" i="12" a="1"/>
  <c r="M119" i="12" s="1"/>
  <c r="L78" i="12" a="1"/>
  <c r="L78" i="12" s="1"/>
  <c r="I35" i="12" a="1"/>
  <c r="I35" i="12" s="1"/>
  <c r="L201" i="12" a="1"/>
  <c r="L201" i="12" s="1"/>
  <c r="I3" i="12" a="1"/>
  <c r="I3" i="12" s="1"/>
  <c r="M142" i="12" a="1"/>
  <c r="M142" i="12" s="1"/>
  <c r="L60" i="12" a="1"/>
  <c r="L60" i="12" s="1"/>
  <c r="N60" i="12" s="1"/>
  <c r="L94" i="12" a="1"/>
  <c r="L94" i="12" s="1"/>
  <c r="I31" i="12" a="1"/>
  <c r="I31" i="12" s="1"/>
  <c r="L127" i="12" a="1"/>
  <c r="L127" i="12" s="1"/>
  <c r="M214" i="12" a="1"/>
  <c r="M214" i="12" s="1"/>
  <c r="M87" i="12" a="1"/>
  <c r="M87" i="12" s="1"/>
  <c r="M89" i="12" a="1"/>
  <c r="M89" i="12" s="1"/>
  <c r="N89" i="12" s="1"/>
  <c r="M40" i="12" a="1"/>
  <c r="M40" i="12" s="1"/>
  <c r="M84" i="12" a="1"/>
  <c r="M84" i="12" s="1"/>
  <c r="M218" i="12" a="1"/>
  <c r="M218" i="12" s="1"/>
  <c r="I68" i="12" a="1"/>
  <c r="I68" i="12" s="1"/>
  <c r="L163" i="12" a="1"/>
  <c r="L163" i="12" s="1"/>
  <c r="L111" i="12" a="1"/>
  <c r="L111" i="12" s="1"/>
  <c r="M59" i="12" a="1"/>
  <c r="M59" i="12" s="1"/>
  <c r="L120" i="12" a="1"/>
  <c r="L120" i="12" s="1"/>
  <c r="L13" i="12" a="1"/>
  <c r="L13" i="12" s="1"/>
  <c r="M157" i="12" a="1"/>
  <c r="M157" i="12" s="1"/>
  <c r="L238" i="12" a="1"/>
  <c r="L238" i="12" s="1"/>
  <c r="M181" i="12" a="1"/>
  <c r="M181" i="12" s="1"/>
  <c r="L149" i="12" a="1"/>
  <c r="L149" i="12" s="1"/>
  <c r="I29" i="12" a="1"/>
  <c r="I29" i="12" s="1"/>
  <c r="L61" i="12" a="1"/>
  <c r="L61" i="12" s="1"/>
  <c r="I6" i="12" a="1"/>
  <c r="I6" i="12" s="1"/>
  <c r="M52" i="12" a="1"/>
  <c r="M52" i="12" s="1"/>
  <c r="M188" i="12" a="1"/>
  <c r="M188" i="12" s="1"/>
  <c r="M215" i="12" a="1"/>
  <c r="M215" i="12" s="1"/>
  <c r="L37" i="12" a="1"/>
  <c r="L37" i="12" s="1"/>
  <c r="N37" i="12" s="1"/>
  <c r="L30" i="12" a="1"/>
  <c r="L30" i="12" s="1"/>
  <c r="M86" i="12" a="1"/>
  <c r="M86" i="12" s="1"/>
  <c r="L220" i="12" a="1"/>
  <c r="L220" i="12" s="1"/>
  <c r="L96" i="12" a="1"/>
  <c r="L96" i="12" s="1"/>
  <c r="M150" i="12" a="1"/>
  <c r="M150" i="12" s="1"/>
  <c r="L106" i="12" a="1"/>
  <c r="L106" i="12" s="1"/>
  <c r="L226" i="12" a="1"/>
  <c r="L226" i="12" s="1"/>
  <c r="I53" i="12" a="1"/>
  <c r="I53" i="12" s="1"/>
  <c r="M41" i="12" a="1"/>
  <c r="M41" i="12" s="1"/>
  <c r="I50" i="12" a="1"/>
  <c r="I50" i="12" s="1"/>
  <c r="M88" i="12" a="1"/>
  <c r="M88" i="12" s="1"/>
  <c r="M219" i="12" a="1"/>
  <c r="M219" i="12" s="1"/>
  <c r="L113" i="12" a="1"/>
  <c r="L113" i="12" s="1"/>
  <c r="N113" i="12" s="1"/>
  <c r="L251" i="12" a="1"/>
  <c r="L251" i="12" s="1"/>
  <c r="L227" i="12" a="1"/>
  <c r="L227" i="12" s="1"/>
  <c r="L32" i="12" a="1"/>
  <c r="L32" i="12" s="1"/>
  <c r="I23" i="12" a="1"/>
  <c r="I23" i="12" s="1"/>
  <c r="L133" i="12" a="1"/>
  <c r="L133" i="12" s="1"/>
  <c r="M27" i="12" a="1"/>
  <c r="M27" i="12" s="1"/>
  <c r="N27" i="12" s="1"/>
  <c r="M82" i="12" a="1"/>
  <c r="M82" i="12" s="1"/>
  <c r="I95" i="12" a="1"/>
  <c r="I95" i="12" s="1"/>
  <c r="M179" i="12" a="1"/>
  <c r="M179" i="12" s="1"/>
  <c r="M210" i="12" a="1"/>
  <c r="M210" i="12" s="1"/>
  <c r="M187" i="12" a="1"/>
  <c r="M187" i="12" s="1"/>
  <c r="L221" i="12" a="1"/>
  <c r="L221" i="12" s="1"/>
  <c r="L213" i="12" a="1"/>
  <c r="L213" i="12" s="1"/>
  <c r="L152" i="12" a="1"/>
  <c r="L152" i="12" s="1"/>
  <c r="M106" i="12" a="1"/>
  <c r="M106" i="12" s="1"/>
  <c r="L80" i="12" a="1"/>
  <c r="L80" i="12" s="1"/>
  <c r="L240" i="12" a="1"/>
  <c r="L240" i="12" s="1"/>
  <c r="M7" i="12" a="1"/>
  <c r="M7" i="12" s="1"/>
  <c r="L26" i="12" a="1"/>
  <c r="L26" i="12" s="1"/>
  <c r="N26" i="12" s="1"/>
  <c r="L146" i="12" a="1"/>
  <c r="L146" i="12" s="1"/>
  <c r="L246" i="12" a="1"/>
  <c r="L246" i="12" s="1"/>
  <c r="L135" i="12" a="1"/>
  <c r="L135" i="12" s="1"/>
  <c r="M124" i="12" a="1"/>
  <c r="M124" i="12" s="1"/>
  <c r="L110" i="12" a="1"/>
  <c r="L110" i="12" s="1"/>
  <c r="N110" i="12" s="1"/>
  <c r="L24" i="12" a="1"/>
  <c r="L24" i="12" s="1"/>
  <c r="L218" i="12" a="1"/>
  <c r="L218" i="12" s="1"/>
  <c r="I80" i="12" a="1"/>
  <c r="I80" i="12" s="1"/>
  <c r="M128" i="12" a="1"/>
  <c r="M128" i="12" s="1"/>
  <c r="I42" i="12" a="1"/>
  <c r="I42" i="12" s="1"/>
  <c r="L104" i="12" a="1"/>
  <c r="L104" i="12" s="1"/>
  <c r="M101" i="12" a="1"/>
  <c r="M101" i="12" s="1"/>
  <c r="M78" i="12" a="1"/>
  <c r="M78" i="12" s="1"/>
  <c r="M212" i="12" a="1"/>
  <c r="M212" i="12" s="1"/>
  <c r="L239" i="12" a="1"/>
  <c r="L239" i="12" s="1"/>
  <c r="M74" i="12" a="1"/>
  <c r="M74" i="12" s="1"/>
  <c r="M99" i="12" a="1"/>
  <c r="M99" i="12" s="1"/>
  <c r="L89" i="12" a="1"/>
  <c r="L89" i="12" s="1"/>
  <c r="M170" i="12" a="1"/>
  <c r="M170" i="12" s="1"/>
  <c r="M125" i="12" a="1"/>
  <c r="M125" i="12" s="1"/>
  <c r="I74" i="12" a="1"/>
  <c r="I74" i="12" s="1"/>
  <c r="I99" i="12" a="1"/>
  <c r="I99" i="12" s="1"/>
  <c r="L17" i="12" a="1"/>
  <c r="L17" i="12" s="1"/>
  <c r="M56" i="12" a="1"/>
  <c r="M56" i="12" s="1"/>
  <c r="M73" i="12" a="1"/>
  <c r="M73" i="12" s="1"/>
  <c r="N73" i="12" s="1"/>
  <c r="L92" i="12" a="1"/>
  <c r="L92" i="12" s="1"/>
  <c r="M228" i="12" a="1"/>
  <c r="M228" i="12" s="1"/>
  <c r="L31" i="12" a="1"/>
  <c r="L31" i="12" s="1"/>
  <c r="I97" i="12" a="1"/>
  <c r="I97" i="12" s="1"/>
  <c r="L105" i="12" a="1"/>
  <c r="L105" i="12" s="1"/>
  <c r="M141" i="12" a="1"/>
  <c r="M141" i="12" s="1"/>
  <c r="M44" i="12" a="1"/>
  <c r="M44" i="12" s="1"/>
  <c r="L207" i="12" a="1"/>
  <c r="L207" i="12" s="1"/>
  <c r="L68" i="12" a="1"/>
  <c r="L68" i="12" s="1"/>
  <c r="M139" i="12" a="1"/>
  <c r="M139" i="12" s="1"/>
  <c r="L174" i="12" a="1"/>
  <c r="L174" i="12" s="1"/>
  <c r="L49" i="12" a="1"/>
  <c r="L49" i="12" s="1"/>
  <c r="M10" i="12" a="1"/>
  <c r="M10" i="12" s="1"/>
  <c r="L97" i="12" a="1"/>
  <c r="L97" i="12" s="1"/>
  <c r="L162" i="12" a="1"/>
  <c r="L162" i="12" s="1"/>
  <c r="L151" i="12" a="1"/>
  <c r="L151" i="12" s="1"/>
  <c r="I26" i="12" a="1"/>
  <c r="I26" i="12" s="1"/>
  <c r="L18" i="12" a="1"/>
  <c r="L18" i="12" s="1"/>
  <c r="M199" i="12" a="1"/>
  <c r="M199" i="12" s="1"/>
  <c r="L91" i="12" a="1"/>
  <c r="L91" i="12" s="1"/>
  <c r="N91" i="12" s="1"/>
  <c r="L242" i="12" a="1"/>
  <c r="L242" i="12" s="1"/>
  <c r="M194" i="12" a="1"/>
  <c r="M194" i="12" s="1"/>
  <c r="M162" i="12" a="1"/>
  <c r="M162" i="12" s="1"/>
  <c r="M97" i="12" a="1"/>
  <c r="M97" i="12" s="1"/>
  <c r="M80" i="12" a="1"/>
  <c r="M80" i="12" s="1"/>
  <c r="M123" i="12" a="1"/>
  <c r="M123" i="12" s="1"/>
  <c r="M48" i="12" a="1"/>
  <c r="M48" i="12" s="1"/>
  <c r="M180" i="12" a="1"/>
  <c r="M180" i="12" s="1"/>
  <c r="L222" i="12" a="1"/>
  <c r="L222" i="12" s="1"/>
  <c r="L107" i="12" a="1"/>
  <c r="L107" i="12" s="1"/>
  <c r="M168" i="12" a="1"/>
  <c r="M168" i="12" s="1"/>
  <c r="I22" i="12" a="1"/>
  <c r="I22" i="12" s="1"/>
  <c r="M217" i="12" a="1"/>
  <c r="M217" i="12" s="1"/>
  <c r="M126" i="12" a="1"/>
  <c r="M126" i="12" s="1"/>
  <c r="M23" i="12" a="1"/>
  <c r="M23" i="12" s="1"/>
  <c r="L225" i="12" a="1"/>
  <c r="L225" i="12" s="1"/>
  <c r="M195" i="12" a="1"/>
  <c r="M195" i="12" s="1"/>
  <c r="I83" i="12" a="1"/>
  <c r="I83" i="12" s="1"/>
  <c r="M42" i="12" a="1"/>
  <c r="M42" i="12" s="1"/>
  <c r="I43" i="12" a="1"/>
  <c r="I43" i="12" s="1"/>
  <c r="L44" i="12" a="1"/>
  <c r="L44" i="12" s="1"/>
  <c r="M75" i="12" a="1"/>
  <c r="M75" i="12" s="1"/>
  <c r="L171" i="12" a="1"/>
  <c r="L171" i="12" s="1"/>
  <c r="M31" i="12" a="1"/>
  <c r="M31" i="12" s="1"/>
  <c r="I60" i="12" a="1"/>
  <c r="I60" i="12" s="1"/>
  <c r="L125" i="12" a="1"/>
  <c r="L125" i="12" s="1"/>
  <c r="L79" i="12" a="1"/>
  <c r="L79" i="12" s="1"/>
  <c r="N79" i="12" s="1"/>
  <c r="L232" i="12" a="1"/>
  <c r="L232" i="12" s="1"/>
  <c r="L172" i="12" a="1"/>
  <c r="L172" i="12" s="1"/>
  <c r="M204" i="12" a="1"/>
  <c r="M204" i="12" s="1"/>
  <c r="L76" i="12" a="1"/>
  <c r="L76" i="12" s="1"/>
  <c r="M43" i="12" a="1"/>
  <c r="M43" i="12" s="1"/>
  <c r="L169" i="12" a="1"/>
  <c r="L169" i="12" s="1"/>
  <c r="L40" i="12" a="1"/>
  <c r="L40" i="12" s="1"/>
  <c r="L147" i="12" a="1"/>
  <c r="L147" i="12" s="1"/>
  <c r="L165" i="12" a="1"/>
  <c r="L165" i="12" s="1"/>
  <c r="I34" i="12" a="1"/>
  <c r="I34" i="12" s="1"/>
  <c r="L142" i="12" a="1"/>
  <c r="L142" i="12" s="1"/>
  <c r="L175" i="12" a="1"/>
  <c r="L175" i="12" s="1"/>
  <c r="L216" i="12" a="1"/>
  <c r="L216" i="12" s="1"/>
  <c r="M108" i="12" a="1"/>
  <c r="M108" i="12" s="1"/>
  <c r="N108" i="12" s="1"/>
  <c r="M29" i="12" a="1"/>
  <c r="M29" i="12" s="1"/>
  <c r="M68" i="12" a="1"/>
  <c r="M68" i="12" s="1"/>
  <c r="I30" i="12" a="1"/>
  <c r="I30" i="12" s="1"/>
  <c r="M183" i="12" a="1"/>
  <c r="M183" i="12" s="1"/>
  <c r="L145" i="12" a="1"/>
  <c r="L145" i="12" s="1"/>
  <c r="L176" i="12" a="1"/>
  <c r="L176" i="12" s="1"/>
  <c r="L114" i="12" a="1"/>
  <c r="L114" i="12" s="1"/>
  <c r="L50" i="12" a="1"/>
  <c r="L50" i="12" s="1"/>
  <c r="N50" i="12" s="1"/>
  <c r="L179" i="12" a="1"/>
  <c r="L179" i="12" s="1"/>
  <c r="L67" i="12" a="1"/>
  <c r="L67" i="12" s="1"/>
  <c r="M164" i="12" a="1"/>
  <c r="M164" i="12" s="1"/>
  <c r="L233" i="12" a="1"/>
  <c r="L233" i="12" s="1"/>
  <c r="M130" i="12" a="1"/>
  <c r="M130" i="12" s="1"/>
  <c r="L250" i="12" a="1"/>
  <c r="L250" i="12" s="1"/>
  <c r="L206" i="12" a="1"/>
  <c r="L206" i="12" s="1"/>
  <c r="M129" i="12" a="1"/>
  <c r="M129" i="12" s="1"/>
  <c r="L164" i="12" a="1"/>
  <c r="L164" i="12" s="1"/>
  <c r="M12" i="12" a="1"/>
  <c r="M12" i="12" s="1"/>
  <c r="L84" i="12" a="1"/>
  <c r="L84" i="12" s="1"/>
  <c r="N84" i="12" s="1"/>
  <c r="M105" i="12" a="1"/>
  <c r="M105" i="12" s="1"/>
  <c r="L117" i="12" a="1"/>
  <c r="L117" i="12" s="1"/>
  <c r="M227" i="12" a="1"/>
  <c r="M227" i="12" s="1"/>
  <c r="I27" i="12" a="1"/>
  <c r="I27" i="12" s="1"/>
  <c r="M25" i="12" a="1"/>
  <c r="M25" i="12" s="1"/>
  <c r="M104" i="12" a="1"/>
  <c r="M104" i="12" s="1"/>
  <c r="L20" i="12" a="1"/>
  <c r="L20" i="12" s="1"/>
  <c r="N20" i="12" s="1"/>
  <c r="L36" i="12" a="1"/>
  <c r="L36" i="12" s="1"/>
  <c r="I86" i="12" a="1"/>
  <c r="I86" i="12" s="1"/>
  <c r="M111" i="12" a="1"/>
  <c r="M111" i="12" s="1"/>
  <c r="L130" i="12" a="1"/>
  <c r="L130" i="12" s="1"/>
  <c r="L47" i="12" a="1"/>
  <c r="L47" i="12" s="1"/>
  <c r="L15" i="12" a="1"/>
  <c r="L15" i="12" s="1"/>
  <c r="M13" i="12" a="1"/>
  <c r="M13" i="12" s="1"/>
  <c r="M136" i="12" a="1"/>
  <c r="M136" i="12" s="1"/>
  <c r="M134" i="12" a="1"/>
  <c r="M134" i="12" s="1"/>
  <c r="M32" i="12" a="1"/>
  <c r="M32" i="12" s="1"/>
  <c r="L74" i="12" a="1"/>
  <c r="L74" i="12" s="1"/>
  <c r="M2" i="12" a="1"/>
  <c r="M2" i="12" s="1"/>
  <c r="M112" i="12" a="1"/>
  <c r="M112" i="12" s="1"/>
  <c r="L85" i="12" a="1"/>
  <c r="L85" i="12" s="1"/>
  <c r="M9" i="12" a="1"/>
  <c r="M9" i="12" s="1"/>
  <c r="M201" i="12" a="1"/>
  <c r="M201" i="12" s="1"/>
  <c r="M49" i="12" a="1"/>
  <c r="M49" i="12" s="1"/>
  <c r="M115" i="12" a="1"/>
  <c r="M115" i="12" s="1"/>
  <c r="L237" i="12" a="1"/>
  <c r="L237" i="12" s="1"/>
  <c r="I47" i="12" a="1"/>
  <c r="I47" i="12" s="1"/>
  <c r="L198" i="12" a="1"/>
  <c r="L198" i="12" s="1"/>
  <c r="L203" i="12" a="1"/>
  <c r="L203" i="12" s="1"/>
  <c r="M94" i="12" a="1"/>
  <c r="M94" i="12" s="1"/>
  <c r="L22" i="12" a="1"/>
  <c r="L22" i="12" s="1"/>
  <c r="M143" i="12" a="1"/>
  <c r="M143" i="12" s="1"/>
  <c r="M226" i="12" a="1"/>
  <c r="M226" i="12" s="1"/>
  <c r="I82" i="12" a="1"/>
  <c r="I82" i="12" s="1"/>
  <c r="L121" i="12" a="1"/>
  <c r="L121" i="12" s="1"/>
  <c r="M156" i="12" a="1"/>
  <c r="M156" i="12" s="1"/>
  <c r="L55" i="12" a="1"/>
  <c r="L55" i="12" s="1"/>
  <c r="L188" i="12" a="1"/>
  <c r="L188" i="12" s="1"/>
  <c r="M33" i="12" a="1"/>
  <c r="M33" i="12" s="1"/>
  <c r="N33" i="12" s="1"/>
  <c r="M11" i="12" a="1"/>
  <c r="M11" i="12" s="1"/>
  <c r="N11" i="12" s="1"/>
  <c r="M169" i="12" a="1"/>
  <c r="M169" i="12" s="1"/>
  <c r="L128" i="12" a="1"/>
  <c r="L128" i="12" s="1"/>
  <c r="I33" i="12" a="1"/>
  <c r="I33" i="12" s="1"/>
  <c r="I2" i="12" a="1"/>
  <c r="I2" i="12" s="1"/>
  <c r="T7" i="6" s="1"/>
  <c r="L209" i="12" a="1"/>
  <c r="L209" i="12" s="1"/>
  <c r="M171" i="12" a="1"/>
  <c r="M171" i="12" s="1"/>
  <c r="M117" i="12" a="1"/>
  <c r="M117" i="12" s="1"/>
  <c r="L185" i="12" a="1"/>
  <c r="L185" i="12" s="1"/>
  <c r="L14" i="12" a="1"/>
  <c r="L14" i="12" s="1"/>
  <c r="N14" i="12" s="1"/>
  <c r="I94" i="12" a="1"/>
  <c r="I94" i="12" s="1"/>
  <c r="M103" i="12" a="1"/>
  <c r="M103" i="12" s="1"/>
  <c r="L70" i="12" a="1"/>
  <c r="L70" i="12" s="1"/>
  <c r="M153" i="12" a="1"/>
  <c r="M153" i="12" s="1"/>
  <c r="L88" i="12" a="1"/>
  <c r="L88" i="12" s="1"/>
  <c r="N88" i="12" s="1"/>
  <c r="I19" i="12" a="1"/>
  <c r="I19" i="12" s="1"/>
  <c r="M161" i="12" a="1"/>
  <c r="M161" i="12" s="1"/>
  <c r="M36" i="12" a="1"/>
  <c r="M36" i="12" s="1"/>
  <c r="L64" i="12" a="1"/>
  <c r="L64" i="12" s="1"/>
  <c r="I49" i="12" a="1"/>
  <c r="I49" i="12" s="1"/>
  <c r="I20" i="12" a="1"/>
  <c r="I20" i="12" s="1"/>
  <c r="M235" i="12" a="1"/>
  <c r="M235" i="12" s="1"/>
  <c r="M202" i="12" a="1"/>
  <c r="M202" i="12" s="1"/>
  <c r="M158" i="12" a="1"/>
  <c r="M158" i="12" s="1"/>
  <c r="M135" i="12" a="1"/>
  <c r="M135" i="12" s="1"/>
  <c r="M178" i="12" a="1"/>
  <c r="M178" i="12" s="1"/>
  <c r="M47" i="12" a="1"/>
  <c r="M47" i="12" s="1"/>
  <c r="L103" i="12" a="1"/>
  <c r="L103" i="12" s="1"/>
  <c r="L109" i="12" a="1"/>
  <c r="L109" i="12" s="1"/>
  <c r="M152" i="12" a="1"/>
  <c r="M152" i="12" s="1"/>
  <c r="L197" i="12" a="1"/>
  <c r="L197" i="12" s="1"/>
  <c r="M4" i="12" a="1"/>
  <c r="M4" i="12" s="1"/>
  <c r="M22" i="12" a="1"/>
  <c r="M22" i="12" s="1"/>
  <c r="L28" i="12" a="1"/>
  <c r="L28" i="12" s="1"/>
  <c r="I70" i="12" a="1"/>
  <c r="I70" i="12" s="1"/>
  <c r="M190" i="12" a="1"/>
  <c r="M190" i="12" s="1"/>
  <c r="I72" i="12" a="1"/>
  <c r="I72" i="12" s="1"/>
  <c r="L9" i="12" a="1"/>
  <c r="L9" i="12" s="1"/>
  <c r="M19" i="12" a="1"/>
  <c r="M19" i="12" s="1"/>
  <c r="I77" i="12" a="1"/>
  <c r="I77" i="12" s="1"/>
  <c r="M206" i="12" a="1"/>
  <c r="M206" i="12" s="1"/>
  <c r="L245" i="12" a="1"/>
  <c r="L245" i="12" s="1"/>
  <c r="L141" i="12" a="1"/>
  <c r="L141" i="12" s="1"/>
  <c r="L186" i="12" a="1"/>
  <c r="L186" i="12" s="1"/>
  <c r="L29" i="12" a="1"/>
  <c r="L29" i="12" s="1"/>
  <c r="L58" i="12" a="1"/>
  <c r="L58" i="12" s="1"/>
  <c r="I71" i="12" a="1"/>
  <c r="I71" i="12" s="1"/>
  <c r="M100" i="12" a="1"/>
  <c r="M100" i="12" s="1"/>
  <c r="N100" i="12" s="1"/>
  <c r="M17" i="12" a="1"/>
  <c r="M17" i="12" s="1"/>
  <c r="N17" i="12" s="1"/>
  <c r="L83" i="12" a="1"/>
  <c r="L83" i="12" s="1"/>
  <c r="N83" i="12" s="1"/>
  <c r="L5" i="12" a="1"/>
  <c r="L5" i="12" s="1"/>
  <c r="N5" i="12" s="1"/>
  <c r="L42" i="12" a="1"/>
  <c r="L42" i="12" s="1"/>
  <c r="L183" i="12" a="1"/>
  <c r="L183" i="12" s="1"/>
  <c r="M122" i="12" a="1"/>
  <c r="M122" i="12" s="1"/>
  <c r="M54" i="12" a="1"/>
  <c r="M54" i="12" s="1"/>
  <c r="M229" i="12" a="1"/>
  <c r="M229" i="12" s="1"/>
  <c r="L4" i="12" a="1"/>
  <c r="L4" i="12" s="1"/>
  <c r="L2" i="12" a="1"/>
  <c r="L2" i="12" s="1"/>
  <c r="M165" i="12" a="1"/>
  <c r="M165" i="12" s="1"/>
  <c r="L191" i="12" a="1"/>
  <c r="L191" i="12" s="1"/>
  <c r="L217" i="12" a="1"/>
  <c r="L217" i="12" s="1"/>
  <c r="I56" i="12" a="1"/>
  <c r="I56" i="12" s="1"/>
  <c r="L43" i="12" a="1"/>
  <c r="L43" i="12" s="1"/>
  <c r="M138" i="12" a="1"/>
  <c r="M138" i="12" s="1"/>
  <c r="L45" i="12" a="1"/>
  <c r="L45" i="12" s="1"/>
  <c r="L252" i="12" a="1"/>
  <c r="L252" i="12" s="1"/>
  <c r="I10" i="12" a="1"/>
  <c r="I10" i="12" s="1"/>
  <c r="AE3" i="4" s="1"/>
  <c r="I28" i="12" a="1"/>
  <c r="I28" i="12" s="1"/>
  <c r="L136" i="12" a="1"/>
  <c r="L136" i="12" s="1"/>
  <c r="M198" i="12" a="1"/>
  <c r="M198" i="12" s="1"/>
  <c r="L157" i="12" a="1"/>
  <c r="L157" i="12" s="1"/>
  <c r="M61" i="12" a="1"/>
  <c r="M61" i="12" s="1"/>
  <c r="L86" i="12" a="1"/>
  <c r="L86" i="12" s="1"/>
  <c r="N86" i="12" s="1"/>
  <c r="L182" i="12" a="1"/>
  <c r="L182" i="12" s="1"/>
  <c r="L190" i="12" a="1"/>
  <c r="L190" i="12" s="1"/>
  <c r="L166" i="12" a="1"/>
  <c r="L166" i="12" s="1"/>
  <c r="M90" i="12" a="1"/>
  <c r="M90" i="12" s="1"/>
  <c r="M185" i="12" a="1"/>
  <c r="M185" i="12" s="1"/>
  <c r="M3" i="12" a="1"/>
  <c r="M3" i="12" s="1"/>
  <c r="M39" i="12" a="1"/>
  <c r="M39" i="12" s="1"/>
  <c r="L59" i="12" a="1"/>
  <c r="L59" i="12" s="1"/>
  <c r="N59" i="12" s="1"/>
  <c r="L38" i="12" a="1"/>
  <c r="L38" i="12" s="1"/>
  <c r="L204" i="12" a="1"/>
  <c r="L204" i="12" s="1"/>
  <c r="I93" i="12" a="1"/>
  <c r="I93" i="12" s="1"/>
  <c r="M92" i="12" a="1"/>
  <c r="M92" i="12" s="1"/>
  <c r="I24" i="12" a="1"/>
  <c r="I24" i="12" s="1"/>
  <c r="T8" i="6" s="1"/>
  <c r="M176" i="12" a="1"/>
  <c r="M176" i="12" s="1"/>
  <c r="L196" i="12" a="1"/>
  <c r="L196" i="12" s="1"/>
  <c r="L243" i="12" a="1"/>
  <c r="L243" i="12" s="1"/>
  <c r="L155" i="12" a="1"/>
  <c r="L155" i="12" s="1"/>
  <c r="L81" i="12" a="1"/>
  <c r="L81" i="12" s="1"/>
  <c r="L208" i="12" a="1"/>
  <c r="L208" i="12" s="1"/>
  <c r="L132" i="12" a="1"/>
  <c r="L132" i="12" s="1"/>
  <c r="L102" i="12" a="1"/>
  <c r="L102" i="12" s="1"/>
  <c r="M102" i="12" a="1"/>
  <c r="M102" i="12" s="1"/>
  <c r="M64" i="12" a="1"/>
  <c r="M64" i="12" s="1"/>
  <c r="I76" i="12" a="1"/>
  <c r="I76" i="12" s="1"/>
  <c r="L199" i="12" a="1"/>
  <c r="L199" i="12" s="1"/>
  <c r="L129" i="12" a="1"/>
  <c r="L129" i="12" s="1"/>
  <c r="M225" i="12" a="1"/>
  <c r="M225" i="12" s="1"/>
  <c r="M184" i="12" a="1"/>
  <c r="M184" i="12" s="1"/>
  <c r="L200" i="12" a="1"/>
  <c r="L200" i="12" s="1"/>
  <c r="L123" i="12" a="1"/>
  <c r="L123" i="12" s="1"/>
  <c r="M30" i="12" a="1"/>
  <c r="M30" i="12" s="1"/>
  <c r="M189" i="12" a="1"/>
  <c r="M189" i="12" s="1"/>
  <c r="L34" i="12" a="1"/>
  <c r="L34" i="12" s="1"/>
  <c r="N34" i="12" s="1"/>
  <c r="I65" i="12" a="1"/>
  <c r="I65" i="12" s="1"/>
  <c r="L228" i="12" a="1"/>
  <c r="L228" i="12" s="1"/>
  <c r="L39" i="12" a="1"/>
  <c r="L39" i="12" s="1"/>
  <c r="I38" i="12" a="1"/>
  <c r="I38" i="12" s="1"/>
  <c r="I88" i="12" a="1"/>
  <c r="I88" i="12" s="1"/>
  <c r="I12" i="12" a="1"/>
  <c r="I12" i="12" s="1"/>
  <c r="AE4" i="4" s="1"/>
  <c r="L194" i="12" a="1"/>
  <c r="L194" i="12" s="1"/>
  <c r="I73" i="12" a="1"/>
  <c r="I73" i="12" s="1"/>
  <c r="I75" i="12" a="1"/>
  <c r="I75" i="12" s="1"/>
  <c r="L134" i="12" a="1"/>
  <c r="L134" i="12" s="1"/>
  <c r="L71" i="12" a="1"/>
  <c r="L71" i="12" s="1"/>
  <c r="N71" i="12" s="1"/>
  <c r="L8" i="12" a="1"/>
  <c r="L8" i="12" s="1"/>
  <c r="N8" i="12" s="1"/>
  <c r="M93" i="12" a="1"/>
  <c r="M93" i="12" s="1"/>
  <c r="L95" i="12" a="1"/>
  <c r="L95" i="12" s="1"/>
  <c r="N95" i="12" s="1"/>
  <c r="M213" i="12" a="1"/>
  <c r="M213" i="12" s="1"/>
  <c r="L35" i="12" a="1"/>
  <c r="L35" i="12" s="1"/>
  <c r="M147" i="12" a="1"/>
  <c r="M147" i="12" s="1"/>
  <c r="M81" i="12" a="1"/>
  <c r="M81" i="12" s="1"/>
  <c r="M55" i="12" a="1"/>
  <c r="M55" i="12" s="1"/>
  <c r="L41" i="12" a="1"/>
  <c r="L41" i="12" s="1"/>
  <c r="N41" i="12" s="1"/>
  <c r="L192" i="12" a="1"/>
  <c r="L192" i="12" s="1"/>
  <c r="L178" i="12" a="1"/>
  <c r="L178" i="12" s="1"/>
  <c r="M21" i="12" a="1"/>
  <c r="M21" i="12" s="1"/>
  <c r="L177" i="12" a="1"/>
  <c r="L177" i="12" s="1"/>
  <c r="L214" i="12" a="1"/>
  <c r="L214" i="12" s="1"/>
  <c r="M155" i="12" a="1"/>
  <c r="M155" i="12" s="1"/>
  <c r="L7" i="12" a="1"/>
  <c r="L7" i="12" s="1"/>
  <c r="M51" i="12" a="1"/>
  <c r="M51" i="12" s="1"/>
  <c r="L170" i="12" a="1"/>
  <c r="L170" i="12" s="1"/>
  <c r="L193" i="12" a="1"/>
  <c r="L193" i="12" s="1"/>
  <c r="L90" i="12" a="1"/>
  <c r="L90" i="12" s="1"/>
  <c r="I48" i="12" a="1"/>
  <c r="I48" i="12" s="1"/>
  <c r="M45" i="12" a="1"/>
  <c r="M45" i="12" s="1"/>
  <c r="M193" i="12" a="1"/>
  <c r="M193" i="12" s="1"/>
  <c r="L87" i="12" a="1"/>
  <c r="L87" i="12" s="1"/>
  <c r="N87" i="12" s="1"/>
  <c r="L202" i="12" a="1"/>
  <c r="L202" i="12" s="1"/>
  <c r="M172" i="12" a="1"/>
  <c r="M172" i="12" s="1"/>
  <c r="M223" i="12" a="1"/>
  <c r="M223" i="12" s="1"/>
  <c r="L16" i="12" a="1"/>
  <c r="L16" i="12" s="1"/>
  <c r="N16" i="12" s="1"/>
  <c r="L115" i="12" a="1"/>
  <c r="L115" i="12" s="1"/>
  <c r="I11" i="12" a="1"/>
  <c r="I11" i="12" s="1"/>
  <c r="T10" i="6" s="1"/>
  <c r="L46" i="12" a="1"/>
  <c r="L46" i="12" s="1"/>
  <c r="N46" i="12" s="1"/>
  <c r="M224" i="12" a="1"/>
  <c r="M224" i="12" s="1"/>
  <c r="M173" i="12" a="1"/>
  <c r="M173" i="12" s="1"/>
  <c r="M72" i="12" a="1"/>
  <c r="M72" i="12" s="1"/>
  <c r="L173" i="12" a="1"/>
  <c r="L173" i="12" s="1"/>
  <c r="L235" i="12" a="1"/>
  <c r="L235" i="12" s="1"/>
  <c r="I62" i="12" a="1"/>
  <c r="I62" i="12" s="1"/>
  <c r="L139" i="12" a="1"/>
  <c r="L139" i="12" s="1"/>
  <c r="L212" i="12" a="1"/>
  <c r="L212" i="12" s="1"/>
  <c r="M177" i="12" a="1"/>
  <c r="M177" i="12" s="1"/>
  <c r="L223" i="12" a="1"/>
  <c r="L223" i="12" s="1"/>
  <c r="M66" i="12" a="1"/>
  <c r="M66" i="12" s="1"/>
  <c r="N66" i="12" s="1"/>
  <c r="M53" i="12" a="1"/>
  <c r="M53" i="12" s="1"/>
  <c r="M65" i="12" a="1"/>
  <c r="M65" i="12" s="1"/>
  <c r="M67" i="12" a="1"/>
  <c r="M67" i="12" s="1"/>
  <c r="M151" i="12" a="1"/>
  <c r="M151" i="12" s="1"/>
  <c r="L99" i="12" a="1"/>
  <c r="L99" i="12" s="1"/>
  <c r="N99" i="12" s="1"/>
  <c r="M35" i="12" a="1"/>
  <c r="M35" i="12" s="1"/>
  <c r="M77" i="12" a="1"/>
  <c r="M77" i="12" s="1"/>
  <c r="L215" i="12" a="1"/>
  <c r="L215" i="12" s="1"/>
  <c r="L98" i="12" a="1"/>
  <c r="L98" i="12" s="1"/>
  <c r="N98" i="12" s="1"/>
  <c r="M186" i="12" a="1"/>
  <c r="M186" i="12" s="1"/>
  <c r="M69" i="12" a="1"/>
  <c r="M69" i="12" s="1"/>
  <c r="M38" i="12" a="1"/>
  <c r="M38" i="12" s="1"/>
  <c r="L25" i="12" a="1"/>
  <c r="L25" i="12" s="1"/>
  <c r="L51" i="12" a="1"/>
  <c r="L51" i="12" s="1"/>
  <c r="M166" i="12" a="1"/>
  <c r="M166" i="12" s="1"/>
  <c r="I100" i="12" a="1"/>
  <c r="I100" i="12" s="1"/>
  <c r="I90" i="12" a="1"/>
  <c r="I90" i="12" s="1"/>
  <c r="M234" i="12" a="1"/>
  <c r="M234" i="12" s="1"/>
  <c r="M96" i="12" a="1"/>
  <c r="M96" i="12" s="1"/>
  <c r="L124" i="12" a="1"/>
  <c r="L124" i="12" s="1"/>
  <c r="M207" i="12" a="1"/>
  <c r="M207" i="12" s="1"/>
  <c r="M148" i="12" a="1"/>
  <c r="M148" i="12" s="1"/>
  <c r="L253" i="12" a="1"/>
  <c r="L253" i="12" s="1"/>
  <c r="M196" i="12" a="1"/>
  <c r="M196" i="12" s="1"/>
  <c r="M146" i="12" a="1"/>
  <c r="M146" i="12" s="1"/>
  <c r="L6" i="12" a="1"/>
  <c r="L6" i="12" s="1"/>
  <c r="N6" i="12" s="1"/>
  <c r="L249" i="12" a="1"/>
  <c r="L249" i="12" s="1"/>
  <c r="N23" i="12"/>
  <c r="P16" i="1" a="1"/>
  <c r="P16" i="1" s="1"/>
  <c r="F12" i="13" s="1"/>
  <c r="N112" i="12"/>
  <c r="N48" i="12"/>
  <c r="P12" i="1" a="1"/>
  <c r="P12" i="1" s="1"/>
  <c r="F10" i="13" s="1"/>
  <c r="N106" i="12"/>
  <c r="N62" i="12"/>
  <c r="N42" i="12"/>
  <c r="N45" i="12"/>
  <c r="N109" i="12"/>
  <c r="N24" i="12"/>
  <c r="T14" i="6"/>
  <c r="P14" i="1" s="1" a="1"/>
  <c r="P14" i="1" s="1"/>
  <c r="N2" i="12"/>
  <c r="N70" i="12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T11" i="6" l="1"/>
  <c r="T17" i="6"/>
  <c r="P17" i="1" s="1" a="1"/>
  <c r="P17" i="1" s="1"/>
  <c r="N82" i="12"/>
  <c r="AE5" i="4"/>
  <c r="T6" i="6"/>
  <c r="N43" i="12"/>
  <c r="N74" i="12"/>
  <c r="N39" i="12"/>
  <c r="N92" i="12"/>
  <c r="N25" i="12"/>
  <c r="N105" i="12"/>
  <c r="T5" i="6"/>
  <c r="N102" i="12"/>
  <c r="N4" i="12"/>
  <c r="N49" i="12"/>
  <c r="N47" i="12"/>
  <c r="N31" i="12"/>
  <c r="T9" i="6"/>
  <c r="N97" i="12"/>
  <c r="T4" i="6"/>
  <c r="N78" i="12"/>
  <c r="N18" i="12"/>
  <c r="N56" i="12"/>
  <c r="N10" i="12"/>
  <c r="N107" i="12"/>
  <c r="T19" i="6"/>
  <c r="N81" i="12"/>
  <c r="AE6" i="4"/>
  <c r="T15" i="6"/>
  <c r="T2" i="6"/>
  <c r="T16" i="6"/>
  <c r="AE2" i="4"/>
  <c r="T13" i="6"/>
  <c r="T3" i="6"/>
  <c r="T12" i="6"/>
  <c r="U18" i="6"/>
  <c r="N103" i="12"/>
  <c r="T18" i="6"/>
  <c r="P5" i="1" a="1"/>
  <c r="P5" i="1" s="1"/>
  <c r="F3" i="13" s="1"/>
  <c r="N21" i="12"/>
  <c r="N35" i="12"/>
  <c r="N9" i="12"/>
  <c r="N80" i="12"/>
  <c r="N44" i="12"/>
  <c r="N32" i="12"/>
  <c r="N96" i="12"/>
  <c r="N111" i="12"/>
  <c r="T22" i="6"/>
  <c r="T49" i="6"/>
  <c r="T36" i="6"/>
  <c r="T40" i="6"/>
  <c r="T45" i="6"/>
  <c r="T48" i="6"/>
  <c r="T33" i="6"/>
  <c r="T41" i="6"/>
  <c r="T42" i="6"/>
  <c r="T32" i="6"/>
  <c r="T35" i="6"/>
  <c r="T24" i="6"/>
  <c r="T23" i="6"/>
  <c r="T38" i="6"/>
  <c r="T39" i="6"/>
  <c r="T47" i="6"/>
  <c r="T28" i="6"/>
  <c r="T34" i="6"/>
  <c r="T26" i="6"/>
  <c r="T43" i="6"/>
  <c r="T46" i="6"/>
  <c r="T52" i="6"/>
  <c r="T30" i="6"/>
  <c r="T50" i="6"/>
  <c r="T37" i="6"/>
  <c r="AE8" i="4"/>
  <c r="P2" i="1" s="1" a="1"/>
  <c r="P2" i="1" s="1"/>
  <c r="T51" i="6"/>
  <c r="T44" i="6"/>
  <c r="T25" i="6"/>
  <c r="P26" i="1" s="1" a="1"/>
  <c r="P26" i="1" s="1"/>
  <c r="T29" i="6"/>
  <c r="T20" i="6"/>
  <c r="T31" i="6"/>
  <c r="T27" i="6"/>
  <c r="T21" i="6"/>
  <c r="N72" i="12"/>
  <c r="N40" i="12"/>
  <c r="N75" i="12"/>
  <c r="N53" i="12"/>
  <c r="N76" i="12"/>
  <c r="N12" i="12"/>
  <c r="N64" i="12"/>
  <c r="N85" i="12"/>
  <c r="N67" i="12"/>
  <c r="AE59" i="4"/>
  <c r="AE224" i="4"/>
  <c r="AE145" i="4"/>
  <c r="AE138" i="4"/>
  <c r="AE239" i="4"/>
  <c r="AE143" i="4"/>
  <c r="AE186" i="4"/>
  <c r="AE188" i="4"/>
  <c r="AE36" i="4"/>
  <c r="P52" i="1" s="1" a="1"/>
  <c r="P52" i="1" s="1"/>
  <c r="AE18" i="4"/>
  <c r="P54" i="1" s="1" a="1"/>
  <c r="P54" i="1" s="1"/>
  <c r="AE162" i="4"/>
  <c r="AE99" i="4"/>
  <c r="AE126" i="4"/>
  <c r="AE176" i="4"/>
  <c r="AE181" i="4"/>
  <c r="AE235" i="4"/>
  <c r="AE34" i="4"/>
  <c r="P64" i="1" s="1" a="1"/>
  <c r="P64" i="1" s="1"/>
  <c r="AE48" i="4"/>
  <c r="AE107" i="4"/>
  <c r="AE108" i="4"/>
  <c r="AE137" i="4"/>
  <c r="AE21" i="4"/>
  <c r="AE49" i="4"/>
  <c r="AE132" i="4"/>
  <c r="AE112" i="4"/>
  <c r="AE84" i="4"/>
  <c r="AE168" i="4"/>
  <c r="AE214" i="4"/>
  <c r="AE243" i="4"/>
  <c r="AE134" i="4"/>
  <c r="AE120" i="4"/>
  <c r="AE72" i="4"/>
  <c r="AE50" i="4"/>
  <c r="AE199" i="4"/>
  <c r="AE82" i="4"/>
  <c r="AE80" i="4"/>
  <c r="AE26" i="4"/>
  <c r="AE163" i="4"/>
  <c r="AE232" i="4"/>
  <c r="AE206" i="4"/>
  <c r="AE226" i="4"/>
  <c r="AE148" i="4"/>
  <c r="AE45" i="4"/>
  <c r="AE211" i="4"/>
  <c r="AE140" i="4"/>
  <c r="AE193" i="4"/>
  <c r="AE118" i="4"/>
  <c r="AE173" i="4"/>
  <c r="AE209" i="4"/>
  <c r="AE131" i="4"/>
  <c r="AE103" i="4"/>
  <c r="AE230" i="4"/>
  <c r="AE180" i="4"/>
  <c r="AE245" i="4"/>
  <c r="AE25" i="4"/>
  <c r="P45" i="1" s="1" a="1"/>
  <c r="P45" i="1" s="1"/>
  <c r="AE241" i="4"/>
  <c r="AE190" i="4"/>
  <c r="AE179" i="4"/>
  <c r="AE73" i="4"/>
  <c r="AE207" i="4"/>
  <c r="AE83" i="4"/>
  <c r="AE114" i="4"/>
  <c r="AE68" i="4"/>
  <c r="AE231" i="4"/>
  <c r="AE216" i="4"/>
  <c r="AE85" i="4"/>
  <c r="AE164" i="4"/>
  <c r="AE76" i="4"/>
  <c r="AE248" i="4"/>
  <c r="AE10" i="4"/>
  <c r="AE17" i="4"/>
  <c r="AE12" i="4"/>
  <c r="AE234" i="4"/>
  <c r="AE106" i="4"/>
  <c r="AE189" i="4"/>
  <c r="AE92" i="4"/>
  <c r="AE187" i="4"/>
  <c r="AE91" i="4"/>
  <c r="AE100" i="4"/>
  <c r="AE94" i="4"/>
  <c r="AE172" i="4"/>
  <c r="AE109" i="4"/>
  <c r="AE23" i="4"/>
  <c r="P56" i="1" s="1" a="1"/>
  <c r="P56" i="1" s="1"/>
  <c r="AE212" i="4"/>
  <c r="AE146" i="4"/>
  <c r="AE165" i="4"/>
  <c r="AE30" i="4"/>
  <c r="P63" i="1" s="1" a="1"/>
  <c r="P63" i="1" s="1"/>
  <c r="AE219" i="4"/>
  <c r="AE47" i="4"/>
  <c r="AE149" i="4"/>
  <c r="AE53" i="4"/>
  <c r="AE127" i="4"/>
  <c r="AE210" i="4"/>
  <c r="AE158" i="4"/>
  <c r="AE61" i="4"/>
  <c r="AE66" i="4"/>
  <c r="AE86" i="4"/>
  <c r="AE38" i="4"/>
  <c r="AE125" i="4"/>
  <c r="AE93" i="4"/>
  <c r="AE58" i="4"/>
  <c r="AE123" i="4"/>
  <c r="AE14" i="4"/>
  <c r="P66" i="1" s="1" a="1"/>
  <c r="P66" i="1" s="1"/>
  <c r="AE250" i="4"/>
  <c r="AE60" i="4"/>
  <c r="AE67" i="4"/>
  <c r="AE11" i="4"/>
  <c r="AE117" i="4"/>
  <c r="AE157" i="4"/>
  <c r="AE121" i="4"/>
  <c r="AE90" i="4"/>
  <c r="AE237" i="4"/>
  <c r="AE44" i="4"/>
  <c r="AE95" i="4"/>
  <c r="AE40" i="4"/>
  <c r="P53" i="1" s="1" a="1"/>
  <c r="P53" i="1" s="1"/>
  <c r="AE77" i="4"/>
  <c r="AE119" i="4"/>
  <c r="AE74" i="4"/>
  <c r="AE192" i="4"/>
  <c r="AE24" i="4"/>
  <c r="AE247" i="4"/>
  <c r="AE29" i="4"/>
  <c r="P42" i="1" s="1" a="1"/>
  <c r="P42" i="1" s="1"/>
  <c r="AE101" i="4"/>
  <c r="AE102" i="4"/>
  <c r="AE20" i="4"/>
  <c r="P74" i="1" s="1" a="1"/>
  <c r="P74" i="1" s="1"/>
  <c r="AE156" i="4"/>
  <c r="AE185" i="4"/>
  <c r="AE142" i="4"/>
  <c r="AE15" i="4"/>
  <c r="AE213" i="4"/>
  <c r="AE104" i="4"/>
  <c r="AE78" i="4"/>
  <c r="AE225" i="4"/>
  <c r="AE128" i="4"/>
  <c r="AE150" i="4"/>
  <c r="AE242" i="4"/>
  <c r="AE42" i="4"/>
  <c r="AE195" i="4"/>
  <c r="AE182" i="4"/>
  <c r="AE88" i="4"/>
  <c r="AE63" i="4"/>
  <c r="AE151" i="4"/>
  <c r="AE170" i="4"/>
  <c r="AE233" i="4"/>
  <c r="AE97" i="4"/>
  <c r="AE203" i="4"/>
  <c r="AE205" i="4"/>
  <c r="AE55" i="4"/>
  <c r="AE229" i="4"/>
  <c r="AE197" i="4"/>
  <c r="AE183" i="4"/>
  <c r="AE251" i="4"/>
  <c r="AE196" i="4"/>
  <c r="AE9" i="4"/>
  <c r="P31" i="1" s="1" a="1"/>
  <c r="P31" i="1" s="1"/>
  <c r="AE116" i="4"/>
  <c r="AE147" i="4"/>
  <c r="AE244" i="4"/>
  <c r="AE105" i="4"/>
  <c r="AE32" i="4"/>
  <c r="P71" i="1" s="1" a="1"/>
  <c r="P71" i="1" s="1"/>
  <c r="AE228" i="4"/>
  <c r="AE198" i="4"/>
  <c r="AE152" i="4"/>
  <c r="AE28" i="4"/>
  <c r="P58" i="1" s="1" a="1"/>
  <c r="P58" i="1" s="1"/>
  <c r="AE135" i="4"/>
  <c r="AE236" i="4"/>
  <c r="AE16" i="4"/>
  <c r="P80" i="1" s="1" a="1"/>
  <c r="P80" i="1" s="1"/>
  <c r="AE167" i="4"/>
  <c r="AE246" i="4"/>
  <c r="AE159" i="4"/>
  <c r="AE39" i="4"/>
  <c r="P69" i="1" s="1" a="1"/>
  <c r="P69" i="1" s="1"/>
  <c r="AE113" i="4"/>
  <c r="AE70" i="4"/>
  <c r="AE62" i="4"/>
  <c r="AE136" i="4"/>
  <c r="AE141" i="4"/>
  <c r="AE155" i="4"/>
  <c r="AE220" i="4"/>
  <c r="AE130" i="4"/>
  <c r="AE115" i="4"/>
  <c r="AE64" i="4"/>
  <c r="AE153" i="4"/>
  <c r="AE41" i="4"/>
  <c r="P77" i="1" s="1" a="1"/>
  <c r="P77" i="1" s="1"/>
  <c r="AE69" i="4"/>
  <c r="AE96" i="4"/>
  <c r="AE81" i="4"/>
  <c r="AE122" i="4"/>
  <c r="AE201" i="4"/>
  <c r="AE154" i="4"/>
  <c r="AE160" i="4"/>
  <c r="AE161" i="4"/>
  <c r="AE111" i="4"/>
  <c r="AE52" i="4"/>
  <c r="AE200" i="4"/>
  <c r="AE75" i="4"/>
  <c r="AE35" i="4"/>
  <c r="P68" i="1" s="1" a="1"/>
  <c r="P68" i="1" s="1"/>
  <c r="AE37" i="4"/>
  <c r="P65" i="1" s="1" a="1"/>
  <c r="P65" i="1" s="1"/>
  <c r="AE184" i="4"/>
  <c r="AE223" i="4"/>
  <c r="AE57" i="4"/>
  <c r="AE124" i="4"/>
  <c r="AE89" i="4"/>
  <c r="AE177" i="4"/>
  <c r="AE191" i="4"/>
  <c r="AE43" i="4"/>
  <c r="AE202" i="4"/>
  <c r="AE98" i="4"/>
  <c r="AE240" i="4"/>
  <c r="AE46" i="4"/>
  <c r="AE238" i="4"/>
  <c r="AE65" i="4"/>
  <c r="AE221" i="4"/>
  <c r="AE169" i="4"/>
  <c r="AE79" i="4"/>
  <c r="AE27" i="4"/>
  <c r="AE33" i="4"/>
  <c r="P48" i="1" s="1" a="1"/>
  <c r="P48" i="1" s="1"/>
  <c r="AE175" i="4"/>
  <c r="AE178" i="4"/>
  <c r="AE227" i="4"/>
  <c r="AE215" i="4"/>
  <c r="AE144" i="4"/>
  <c r="AE51" i="4"/>
  <c r="AE129" i="4"/>
  <c r="AE204" i="4"/>
  <c r="AE171" i="4"/>
  <c r="AE133" i="4"/>
  <c r="AE19" i="4"/>
  <c r="P6" i="1" s="1" a="1"/>
  <c r="P6" i="1" s="1"/>
  <c r="F4" i="13" s="1"/>
  <c r="AE174" i="4"/>
  <c r="AE110" i="4"/>
  <c r="AE194" i="4"/>
  <c r="AE139" i="4"/>
  <c r="AE217" i="4"/>
  <c r="AE87" i="4"/>
  <c r="AE22" i="4"/>
  <c r="P61" i="1" s="1" a="1"/>
  <c r="P61" i="1" s="1"/>
  <c r="AE71" i="4"/>
  <c r="AE222" i="4"/>
  <c r="AE252" i="4"/>
  <c r="AE56" i="4"/>
  <c r="AE31" i="4"/>
  <c r="P51" i="1" s="1" a="1"/>
  <c r="P51" i="1" s="1"/>
  <c r="AE13" i="4"/>
  <c r="AE166" i="4"/>
  <c r="AE208" i="4"/>
  <c r="AE54" i="4"/>
  <c r="AE249" i="4"/>
  <c r="AE218" i="4"/>
  <c r="AF99" i="4"/>
  <c r="AF116" i="4"/>
  <c r="AF170" i="4"/>
  <c r="AF90" i="4"/>
  <c r="N3" i="12"/>
  <c r="N101" i="12"/>
  <c r="N29" i="12"/>
  <c r="N51" i="12"/>
  <c r="N90" i="12"/>
  <c r="N36" i="12"/>
  <c r="N104" i="12"/>
  <c r="N7" i="12"/>
  <c r="N30" i="12"/>
  <c r="N61" i="12"/>
  <c r="N13" i="12"/>
  <c r="N57" i="12"/>
  <c r="N19" i="12"/>
  <c r="N52" i="12"/>
  <c r="N93" i="12"/>
  <c r="N65" i="12"/>
  <c r="N94" i="12"/>
  <c r="N38" i="12"/>
  <c r="N28" i="12"/>
  <c r="N55" i="12"/>
  <c r="N22" i="12"/>
  <c r="AF22" i="4" s="1"/>
  <c r="Q61" i="1" s="1" a="1"/>
  <c r="Q61" i="1" s="1"/>
  <c r="N15" i="12"/>
  <c r="N68" i="12"/>
  <c r="N63" i="12"/>
  <c r="N69" i="12"/>
  <c r="N58" i="12"/>
  <c r="N54" i="12"/>
  <c r="N77" i="12"/>
  <c r="Q20" i="1" a="1"/>
  <c r="Q20" i="1" s="1"/>
  <c r="U5" i="6"/>
  <c r="U7" i="6"/>
  <c r="U4" i="6"/>
  <c r="U24" i="6"/>
  <c r="V24" i="6" s="1"/>
  <c r="Q18" i="1" a="1"/>
  <c r="Q18" i="1" s="1"/>
  <c r="V18" i="6"/>
  <c r="U12" i="6"/>
  <c r="V12" i="6" s="1"/>
  <c r="U17" i="6"/>
  <c r="U22" i="6"/>
  <c r="V22" i="6" s="1"/>
  <c r="U2" i="6"/>
  <c r="AF2" i="4"/>
  <c r="U43" i="6"/>
  <c r="V43" i="6" s="1"/>
  <c r="U33" i="6"/>
  <c r="V33" i="6" s="1"/>
  <c r="U41" i="6"/>
  <c r="V41" i="6" s="1"/>
  <c r="U37" i="6"/>
  <c r="V37" i="6" s="1"/>
  <c r="U40" i="6"/>
  <c r="V40" i="6" s="1"/>
  <c r="U30" i="6"/>
  <c r="V30" i="6" s="1"/>
  <c r="U51" i="6"/>
  <c r="V51" i="6" s="1"/>
  <c r="U34" i="6"/>
  <c r="V34" i="6" s="1"/>
  <c r="U42" i="6"/>
  <c r="V42" i="6" s="1"/>
  <c r="U25" i="6"/>
  <c r="V25" i="6" s="1"/>
  <c r="U27" i="6"/>
  <c r="V27" i="6" s="1"/>
  <c r="U48" i="6"/>
  <c r="V48" i="6" s="1"/>
  <c r="U38" i="6"/>
  <c r="V38" i="6" s="1"/>
  <c r="U52" i="6"/>
  <c r="V52" i="6" s="1"/>
  <c r="U29" i="6"/>
  <c r="V29" i="6" s="1"/>
  <c r="U23" i="6"/>
  <c r="V23" i="6" s="1"/>
  <c r="U10" i="6"/>
  <c r="V10" i="6" s="1"/>
  <c r="U45" i="6"/>
  <c r="V45" i="6" s="1"/>
  <c r="U35" i="6"/>
  <c r="V35" i="6" s="1"/>
  <c r="U31" i="6"/>
  <c r="V31" i="6" s="1"/>
  <c r="U39" i="6"/>
  <c r="V39" i="6" s="1"/>
  <c r="U47" i="6"/>
  <c r="V47" i="6" s="1"/>
  <c r="U20" i="6"/>
  <c r="V20" i="6" s="1"/>
  <c r="U32" i="6"/>
  <c r="V32" i="6" s="1"/>
  <c r="U28" i="6"/>
  <c r="V28" i="6" s="1"/>
  <c r="U49" i="6"/>
  <c r="V49" i="6" s="1"/>
  <c r="U26" i="6"/>
  <c r="V26" i="6" s="1"/>
  <c r="U19" i="6"/>
  <c r="U50" i="6"/>
  <c r="V50" i="6" s="1"/>
  <c r="U46" i="6"/>
  <c r="V46" i="6" s="1"/>
  <c r="U36" i="6"/>
  <c r="V36" i="6" s="1"/>
  <c r="U44" i="6"/>
  <c r="V44" i="6" s="1"/>
  <c r="U13" i="6"/>
  <c r="V13" i="6" s="1"/>
  <c r="U8" i="6"/>
  <c r="V8" i="6" s="1"/>
  <c r="U3" i="6"/>
  <c r="U9" i="6"/>
  <c r="U11" i="6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  <c r="AF35" i="4" l="1"/>
  <c r="Q68" i="1" s="1" a="1"/>
  <c r="Q68" i="1" s="1"/>
  <c r="AF244" i="4"/>
  <c r="AF151" i="4"/>
  <c r="AF221" i="4"/>
  <c r="AF128" i="4"/>
  <c r="AF84" i="4"/>
  <c r="AF110" i="4"/>
  <c r="AF64" i="4"/>
  <c r="AF250" i="4"/>
  <c r="AF81" i="4"/>
  <c r="AF176" i="4"/>
  <c r="AF129" i="4"/>
  <c r="AF182" i="4"/>
  <c r="AF108" i="4"/>
  <c r="AF187" i="4"/>
  <c r="AF86" i="4"/>
  <c r="AF140" i="4"/>
  <c r="AF242" i="4"/>
  <c r="AF145" i="4"/>
  <c r="AF104" i="4"/>
  <c r="AF68" i="4"/>
  <c r="AF217" i="4"/>
  <c r="AF243" i="4"/>
  <c r="AF44" i="4"/>
  <c r="AF220" i="4"/>
  <c r="AF148" i="4"/>
  <c r="AF235" i="4"/>
  <c r="AF153" i="4"/>
  <c r="AF59" i="4"/>
  <c r="AF67" i="4"/>
  <c r="AF191" i="4"/>
  <c r="AF201" i="4"/>
  <c r="AF26" i="4"/>
  <c r="AF183" i="4"/>
  <c r="AF174" i="4"/>
  <c r="AF231" i="4"/>
  <c r="AF114" i="4"/>
  <c r="AF156" i="4"/>
  <c r="AF142" i="4"/>
  <c r="AF143" i="4"/>
  <c r="AF69" i="4"/>
  <c r="AF214" i="4"/>
  <c r="AF127" i="4"/>
  <c r="AF150" i="4"/>
  <c r="AF133" i="4"/>
  <c r="AF36" i="4"/>
  <c r="Q52" i="1" s="1" a="1"/>
  <c r="Q52" i="1" s="1"/>
  <c r="AF29" i="4"/>
  <c r="Q42" i="1" s="1" a="1"/>
  <c r="Q42" i="1" s="1"/>
  <c r="AF184" i="4"/>
  <c r="AF97" i="4"/>
  <c r="AF230" i="4"/>
  <c r="AF211" i="4"/>
  <c r="AF218" i="4"/>
  <c r="AF216" i="4"/>
  <c r="AF125" i="4"/>
  <c r="AF237" i="4"/>
  <c r="AF179" i="4"/>
  <c r="AF202" i="4"/>
  <c r="AF93" i="4"/>
  <c r="AF45" i="4"/>
  <c r="AF43" i="4"/>
  <c r="AF188" i="4"/>
  <c r="AF91" i="4"/>
  <c r="AF109" i="4"/>
  <c r="AF20" i="4"/>
  <c r="Q74" i="1" s="1" a="1"/>
  <c r="Q74" i="1" s="1"/>
  <c r="AF47" i="4"/>
  <c r="AF172" i="4"/>
  <c r="AF185" i="4"/>
  <c r="AF144" i="4"/>
  <c r="AF152" i="4"/>
  <c r="AF119" i="4"/>
  <c r="AF163" i="4"/>
  <c r="AF73" i="4"/>
  <c r="AF155" i="4"/>
  <c r="AF101" i="4"/>
  <c r="AF248" i="4"/>
  <c r="AF178" i="4"/>
  <c r="AF24" i="4"/>
  <c r="Q44" i="1" s="1" a="1"/>
  <c r="Q44" i="1" s="1"/>
  <c r="AF79" i="4"/>
  <c r="AF247" i="4"/>
  <c r="AF63" i="4"/>
  <c r="AF8" i="4"/>
  <c r="AF225" i="4"/>
  <c r="AF31" i="4"/>
  <c r="Q51" i="1" s="1" a="1"/>
  <c r="Q51" i="1" s="1"/>
  <c r="AF58" i="4"/>
  <c r="AF39" i="4"/>
  <c r="Q69" i="1" s="1" a="1"/>
  <c r="Q69" i="1" s="1"/>
  <c r="AF126" i="4"/>
  <c r="AF149" i="4"/>
  <c r="AF251" i="4"/>
  <c r="AF137" i="4"/>
  <c r="AF121" i="4"/>
  <c r="AF78" i="4"/>
  <c r="AF233" i="4"/>
  <c r="AF177" i="4"/>
  <c r="AF52" i="4"/>
  <c r="AF196" i="4"/>
  <c r="AF252" i="4"/>
  <c r="AF130" i="4"/>
  <c r="AF215" i="4"/>
  <c r="AF48" i="4"/>
  <c r="AF240" i="4"/>
  <c r="AF141" i="4"/>
  <c r="AF167" i="4"/>
  <c r="AF162" i="4"/>
  <c r="AF60" i="4"/>
  <c r="AF136" i="4"/>
  <c r="AF199" i="4"/>
  <c r="AF138" i="4"/>
  <c r="AF158" i="4"/>
  <c r="AF66" i="4"/>
  <c r="AF224" i="4"/>
  <c r="AF226" i="4"/>
  <c r="AF241" i="4"/>
  <c r="AF100" i="4"/>
  <c r="AF94" i="4"/>
  <c r="AF103" i="4"/>
  <c r="AF213" i="4"/>
  <c r="AF166" i="4"/>
  <c r="AF51" i="4"/>
  <c r="AF57" i="4"/>
  <c r="AF62" i="4"/>
  <c r="AF131" i="4"/>
  <c r="AF222" i="4"/>
  <c r="AF124" i="4"/>
  <c r="AF146" i="4"/>
  <c r="AF50" i="4"/>
  <c r="AF205" i="4"/>
  <c r="AF106" i="4"/>
  <c r="AF85" i="4"/>
  <c r="AF195" i="4"/>
  <c r="AF46" i="4"/>
  <c r="AF134" i="4"/>
  <c r="AF34" i="4"/>
  <c r="Q64" i="1" s="1" a="1"/>
  <c r="Q64" i="1" s="1"/>
  <c r="AF238" i="4"/>
  <c r="AF120" i="4"/>
  <c r="AF204" i="4"/>
  <c r="AF197" i="4"/>
  <c r="AF41" i="4"/>
  <c r="Q77" i="1" s="1" a="1"/>
  <c r="Q77" i="1" s="1"/>
  <c r="AF38" i="4"/>
  <c r="AF175" i="4"/>
  <c r="AF223" i="4"/>
  <c r="AF33" i="4"/>
  <c r="Q48" i="1" s="1" a="1"/>
  <c r="Q48" i="1" s="1"/>
  <c r="AF160" i="4"/>
  <c r="AF164" i="4"/>
  <c r="AF98" i="4"/>
  <c r="AF171" i="4"/>
  <c r="AF71" i="4"/>
  <c r="AF76" i="4"/>
  <c r="AF72" i="4"/>
  <c r="AF70" i="4"/>
  <c r="AF212" i="4"/>
  <c r="AF192" i="4"/>
  <c r="AF65" i="4"/>
  <c r="AF88" i="4"/>
  <c r="AF118" i="4"/>
  <c r="AF122" i="4"/>
  <c r="AF227" i="4"/>
  <c r="AF200" i="4"/>
  <c r="AF198" i="4"/>
  <c r="AF234" i="4"/>
  <c r="AF147" i="4"/>
  <c r="AF75" i="4"/>
  <c r="AF246" i="4"/>
  <c r="AF105" i="4"/>
  <c r="AF96" i="4"/>
  <c r="AF42" i="4"/>
  <c r="AF89" i="4"/>
  <c r="AF186" i="4"/>
  <c r="AF112" i="4"/>
  <c r="AF135" i="4"/>
  <c r="AF16" i="4"/>
  <c r="Q80" i="1" s="1" a="1"/>
  <c r="Q80" i="1" s="1"/>
  <c r="AF194" i="4"/>
  <c r="AF49" i="4"/>
  <c r="AF53" i="4"/>
  <c r="AF30" i="4"/>
  <c r="Q63" i="1" s="1" a="1"/>
  <c r="Q63" i="1" s="1"/>
  <c r="AF23" i="4"/>
  <c r="Q56" i="1" s="1" a="1"/>
  <c r="Q56" i="1" s="1"/>
  <c r="AF190" i="4"/>
  <c r="AF37" i="4"/>
  <c r="Q65" i="1" s="1" a="1"/>
  <c r="Q65" i="1" s="1"/>
  <c r="AF161" i="4"/>
  <c r="AF139" i="4"/>
  <c r="AF83" i="4"/>
  <c r="AF123" i="4"/>
  <c r="AF132" i="4"/>
  <c r="AF154" i="4"/>
  <c r="AF219" i="4"/>
  <c r="AF180" i="4"/>
  <c r="AF229" i="4"/>
  <c r="AF115" i="4"/>
  <c r="AF249" i="4"/>
  <c r="AF236" i="4"/>
  <c r="AF173" i="4"/>
  <c r="AF239" i="4"/>
  <c r="AF113" i="4"/>
  <c r="AF232" i="4"/>
  <c r="AF56" i="4"/>
  <c r="AF245" i="4"/>
  <c r="AF210" i="4"/>
  <c r="AF77" i="4"/>
  <c r="AF193" i="4"/>
  <c r="AF55" i="4"/>
  <c r="AF181" i="4"/>
  <c r="AF209" i="4"/>
  <c r="AF14" i="4"/>
  <c r="Q66" i="1" s="1" a="1"/>
  <c r="Q66" i="1" s="1"/>
  <c r="AF95" i="4"/>
  <c r="AF80" i="4"/>
  <c r="AF27" i="4"/>
  <c r="AF207" i="4"/>
  <c r="AF168" i="4"/>
  <c r="AF111" i="4"/>
  <c r="AF189" i="4"/>
  <c r="AF159" i="4"/>
  <c r="AF28" i="4"/>
  <c r="Q58" i="1" s="1" a="1"/>
  <c r="Q58" i="1" s="1"/>
  <c r="AF107" i="4"/>
  <c r="AF165" i="4"/>
  <c r="AF11" i="4"/>
  <c r="Q55" i="1" s="1" a="1"/>
  <c r="Q55" i="1" s="1"/>
  <c r="AF40" i="4"/>
  <c r="Q53" i="1" s="1" a="1"/>
  <c r="Q53" i="1" s="1"/>
  <c r="AF208" i="4"/>
  <c r="AF87" i="4"/>
  <c r="AF117" i="4"/>
  <c r="AF206" i="4"/>
  <c r="AF102" i="4"/>
  <c r="AF32" i="4"/>
  <c r="Q71" i="1" s="1" a="1"/>
  <c r="Q71" i="1" s="1"/>
  <c r="AF54" i="4"/>
  <c r="AF61" i="4"/>
  <c r="AF203" i="4"/>
  <c r="AF157" i="4"/>
  <c r="AF74" i="4"/>
  <c r="AF17" i="4"/>
  <c r="Q73" i="1" s="1" a="1"/>
  <c r="Q73" i="1" s="1"/>
  <c r="AF82" i="4"/>
  <c r="AF169" i="4"/>
  <c r="AF228" i="4"/>
  <c r="AF92" i="4"/>
  <c r="AF21" i="4"/>
  <c r="Q67" i="1" s="1" a="1"/>
  <c r="Q67" i="1" s="1"/>
  <c r="AF9" i="4"/>
  <c r="Q31" i="1" s="1" a="1"/>
  <c r="Q31" i="1" s="1"/>
  <c r="AF25" i="4"/>
  <c r="Q45" i="1" s="1" a="1"/>
  <c r="Q45" i="1" s="1"/>
  <c r="U21" i="6"/>
  <c r="V21" i="6" s="1"/>
  <c r="AF5" i="4"/>
  <c r="AF13" i="4"/>
  <c r="Q50" i="1" s="1" a="1"/>
  <c r="Q50" i="1" s="1"/>
  <c r="P50" i="1" a="1"/>
  <c r="P50" i="1" s="1"/>
  <c r="P24" i="1" a="1"/>
  <c r="P24" i="1" s="1"/>
  <c r="F16" i="13" s="1"/>
  <c r="P55" i="1" a="1"/>
  <c r="P55" i="1" s="1"/>
  <c r="P10" i="1" a="1"/>
  <c r="P10" i="1" s="1"/>
  <c r="F8" i="13" s="1"/>
  <c r="P73" i="1" a="1"/>
  <c r="P73" i="1" s="1"/>
  <c r="P20" i="1" a="1"/>
  <c r="P20" i="1" s="1"/>
  <c r="AF3" i="4"/>
  <c r="AF10" i="4"/>
  <c r="P9" i="1" a="1"/>
  <c r="P9" i="1" s="1"/>
  <c r="F7" i="13" s="1"/>
  <c r="AF6" i="4"/>
  <c r="Q23" i="1" s="1" a="1"/>
  <c r="Q23" i="1" s="1"/>
  <c r="AF15" i="4"/>
  <c r="Q46" i="1" s="1" a="1"/>
  <c r="Q46" i="1" s="1"/>
  <c r="P76" i="1" a="1"/>
  <c r="P76" i="1" s="1"/>
  <c r="P21" i="1" a="1"/>
  <c r="P21" i="1" s="1"/>
  <c r="P67" i="1" a="1"/>
  <c r="P67" i="1" s="1"/>
  <c r="P13" i="1" a="1"/>
  <c r="P13" i="1" s="1"/>
  <c r="F11" i="13" s="1"/>
  <c r="P15" i="1" a="1"/>
  <c r="P15" i="1" s="1"/>
  <c r="P46" i="1" a="1"/>
  <c r="P46" i="1" s="1"/>
  <c r="P23" i="1" a="1"/>
  <c r="P23" i="1" s="1"/>
  <c r="AF4" i="4"/>
  <c r="AF12" i="4"/>
  <c r="Q75" i="1" s="1" a="1"/>
  <c r="Q75" i="1" s="1"/>
  <c r="P3" i="1" a="1"/>
  <c r="P3" i="1" s="1"/>
  <c r="U15" i="6"/>
  <c r="V15" i="6" s="1"/>
  <c r="AF18" i="4"/>
  <c r="U16" i="6"/>
  <c r="V16" i="6" s="1"/>
  <c r="AF7" i="4"/>
  <c r="P18" i="1" a="1"/>
  <c r="P18" i="1" s="1"/>
  <c r="F13" i="13" s="1"/>
  <c r="P22" i="1" a="1"/>
  <c r="P22" i="1" s="1"/>
  <c r="P7" i="1" a="1"/>
  <c r="P7" i="1" s="1"/>
  <c r="F5" i="13" s="1"/>
  <c r="P19" i="1" a="1"/>
  <c r="P19" i="1" s="1"/>
  <c r="F14" i="13" s="1"/>
  <c r="P4" i="1" a="1"/>
  <c r="P4" i="1" s="1"/>
  <c r="F2" i="13" s="1"/>
  <c r="P11" i="1" a="1"/>
  <c r="P11" i="1" s="1"/>
  <c r="F9" i="13" s="1"/>
  <c r="U6" i="6"/>
  <c r="V6" i="6" s="1"/>
  <c r="AF19" i="4"/>
  <c r="Q6" i="1" s="1" a="1"/>
  <c r="Q6" i="1" s="1"/>
  <c r="Q9" i="1" a="1"/>
  <c r="Q9" i="1" s="1"/>
  <c r="P44" i="1" a="1"/>
  <c r="P44" i="1" s="1"/>
  <c r="P8" i="1" a="1"/>
  <c r="P8" i="1" s="1"/>
  <c r="F6" i="13" s="1"/>
  <c r="P75" i="1" a="1"/>
  <c r="P75" i="1" s="1"/>
  <c r="P25" i="1" a="1"/>
  <c r="P25" i="1" s="1"/>
  <c r="Q22" i="1" a="1"/>
  <c r="Q22" i="1" s="1"/>
  <c r="Q24" i="1" a="1"/>
  <c r="Q24" i="1" s="1"/>
  <c r="U14" i="6"/>
  <c r="V14" i="6" s="1"/>
  <c r="Q12" i="1" a="1"/>
  <c r="Q12" i="1" s="1"/>
  <c r="V11" i="6"/>
  <c r="Q11" i="1" a="1"/>
  <c r="Q11" i="1" s="1"/>
  <c r="V5" i="6"/>
  <c r="Q5" i="1" a="1"/>
  <c r="Q5" i="1" s="1"/>
  <c r="V3" i="6"/>
  <c r="Q3" i="1" a="1"/>
  <c r="Q3" i="1" s="1"/>
  <c r="Q14" i="1" a="1"/>
  <c r="Q14" i="1" s="1"/>
  <c r="V19" i="6"/>
  <c r="Q19" i="1" a="1"/>
  <c r="Q19" i="1" s="1"/>
  <c r="V2" i="6"/>
  <c r="Q2" i="1" a="1"/>
  <c r="Q2" i="1" s="1"/>
  <c r="Q13" i="1" a="1"/>
  <c r="Q13" i="1" s="1"/>
  <c r="Q8" i="1" a="1"/>
  <c r="Q8" i="1" s="1"/>
  <c r="V4" i="6"/>
  <c r="Q4" i="1" a="1"/>
  <c r="Q4" i="1" s="1"/>
  <c r="V17" i="6"/>
  <c r="Q17" i="1" a="1"/>
  <c r="Q17" i="1" s="1"/>
  <c r="V7" i="6"/>
  <c r="Q7" i="1" a="1"/>
  <c r="Q7" i="1" s="1"/>
  <c r="Q10" i="1" a="1"/>
  <c r="Q10" i="1" s="1"/>
  <c r="V9" i="6"/>
  <c r="Q76" i="1" l="1" a="1"/>
  <c r="Q76" i="1" s="1"/>
  <c r="Q21" i="1" a="1"/>
  <c r="Q21" i="1" s="1"/>
  <c r="Q25" i="1" a="1"/>
  <c r="Q25" i="1" s="1"/>
  <c r="Q54" i="1" a="1"/>
  <c r="Q54" i="1" s="1"/>
  <c r="Q15" i="1" a="1"/>
  <c r="Q15" i="1" s="1"/>
  <c r="Q16" i="1" a="1"/>
  <c r="Q1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<sst xmlns="http://schemas.openxmlformats.org/spreadsheetml/2006/main" count="945" uniqueCount="540">
  <si>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</si>
  <si>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</si>
  <si>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</si>
  <si>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</si>
  <si>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</si>
  <si>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</si>
  <si>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</si>
  <si>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</si>
  <si>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</si>
  <si>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</si>
  <si>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</si>
  <si>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</si>
  <si>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</si>
  <si>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</si>
  <si>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</si>
  <si>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</si>
  <si>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</si>
  <si>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</si>
  <si>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</si>
  <si>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</si>
  <si>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</si>
  <si>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</si>
  <si>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</si>
  <si>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</si>
  <si>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</si>
  <si>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</si>
  <si>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</si>
  <si>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</si>
  <si>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</si>
  <si>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</si>
  <si>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</si>
  <si>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</si>
  <si>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</si>
  <si>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</si>
  <si>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</si>
  <si>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</si>
  <si>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</si>
  <si>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</si>
  <si>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</si>
  <si>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</si>
  <si>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</si>
  <si>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</si>
  <si>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</si>
  <si>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</si>
  <si>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</si>
  <si>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</si>
  <si>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</si>
  <si>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</si>
  <si>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</si>
  <si>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</si>
  <si>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</si>
  <si>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</si>
  <si>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</si>
  <si>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</si>
  <si>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</si>
  <si>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</si>
  <si>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</si>
  <si>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</si>
  <si>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</si>
  <si>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</si>
  <si>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</si>
  <si>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</si>
  <si>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</si>
  <si>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</si>
  <si>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</si>
  <si>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</si>
  <si>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</si>
  <si>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</si>
  <si>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</si>
  <si>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</si>
  <si>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</si>
  <si>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</si>
  <si>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</si>
  <si>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</si>
  <si>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</si>
  <si>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</si>
  <si>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</si>
  <si>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</si>
  <si>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</si>
  <si>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</si>
  <si>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</si>
  <si>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</si>
  <si>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</si>
  <si>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</si>
  <si>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</si>
  <si>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</si>
  <si>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</si>
  <si>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</si>
  <si>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</si>
  <si>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</si>
  <si>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</si>
  <si>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</si>
  <si>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</si>
  <si>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</si>
  <si>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</si>
  <si>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</si>
  <si>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</si>
  <si>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</si>
  <si>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</si>
  <si>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</si>
  <si>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</si>
  <si>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</si>
  <si>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</si>
  <si>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</si>
  <si>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</si>
  <si>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</si>
  <si>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</si>
  <si>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</si>
  <si>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</si>
  <si>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</si>
  <si>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</si>
  <si>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</si>
  <si>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</si>
  <si>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</si>
  <si>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</si>
  <si>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</si>
  <si>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</si>
  <si>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</si>
  <si>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</si>
  <si>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</si>
  <si>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</si>
  <si>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</si>
  <si>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</si>
  <si>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</si>
  <si>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</si>
  <si>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</si>
  <si>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</si>
  <si>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</si>
  <si>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</si>
  <si>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</si>
  <si>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</si>
  <si>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</si>
  <si>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</si>
  <si>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</si>
  <si>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</si>
  <si>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</si>
  <si>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</si>
  <si>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</si>
  <si>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</si>
  <si>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</si>
  <si>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</si>
  <si>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</si>
  <si>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</si>
  <si>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</si>
  <si>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</si>
  <si>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</si>
  <si>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</si>
  <si>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</si>
  <si>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</si>
  <si>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</si>
  <si>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</si>
  <si>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</si>
  <si>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</si>
  <si>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</si>
  <si>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</si>
  <si>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</si>
  <si>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</si>
  <si>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</si>
  <si>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</si>
  <si>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</si>
  <si>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</si>
  <si>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</si>
  <si>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</si>
  <si>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</si>
  <si>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</si>
  <si>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</si>
  <si>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</si>
  <si>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</si>
  <si>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</si>
  <si>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</si>
  <si>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</si>
  <si>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</si>
  <si>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</si>
  <si>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</si>
  <si>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</si>
  <si>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</si>
  <si>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</si>
  <si>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</si>
  <si>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</si>
  <si>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</si>
  <si>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</si>
  <si>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</si>
  <si>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</si>
  <si>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</si>
  <si>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</si>
  <si>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</si>
  <si>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</si>
  <si>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</si>
  <si>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</si>
  <si>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</si>
  <si>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</si>
  <si>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</si>
  <si>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</si>
  <si>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</si>
  <si>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</si>
  <si>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</si>
  <si>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</si>
  <si>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</si>
  <si>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</si>
  <si>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</si>
  <si>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</si>
  <si>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</si>
  <si>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</si>
  <si>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</si>
  <si>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</si>
  <si>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</si>
  <si>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</si>
  <si>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</si>
  <si>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</si>
  <si>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</si>
  <si>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</si>
  <si>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</si>
  <si>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</si>
  <si>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</si>
  <si>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</si>
  <si>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</si>
  <si>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</si>
  <si>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</si>
  <si>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</si>
  <si>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</si>
  <si>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</si>
  <si>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</si>
  <si>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</si>
  <si>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</si>
  <si>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</si>
  <si>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</si>
  <si>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</si>
  <si>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</si>
  <si>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</si>
  <si>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</si>
  <si>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</si>
  <si>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</si>
  <si>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</si>
  <si>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</si>
  <si>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</si>
  <si>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</si>
  <si>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</si>
  <si>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</si>
  <si>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</si>
  <si>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</si>
  <si>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</si>
  <si>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</si>
  <si>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</si>
  <si>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</si>
  <si>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</si>
  <si>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</si>
  <si>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</si>
  <si>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</si>
  <si>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</si>
  <si>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</si>
  <si>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</si>
  <si>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</si>
  <si>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</si>
  <si>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</si>
  <si>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</si>
  <si>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</si>
  <si>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</si>
  <si>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</si>
  <si>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</si>
  <si>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</si>
  <si>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</si>
  <si>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</si>
  <si>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</si>
  <si>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</si>
  <si>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</si>
  <si>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</si>
  <si>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</si>
  <si>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</si>
  <si>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</si>
  <si>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</si>
  <si>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</si>
  <si>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</si>
  <si>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</si>
  <si>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</si>
  <si>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</si>
  <si>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</si>
  <si>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</si>
  <si>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</si>
  <si>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</si>
  <si>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</si>
  <si>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</si>
  <si>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</si>
  <si>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</si>
  <si>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</si>
  <si>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</si>
  <si>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</si>
  <si>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</si>
  <si>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</si>
  <si>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</si>
  <si>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</si>
  <si>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</si>
  <si>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</si>
  <si>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</si>
  <si>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</si>
  <si>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</si>
  <si>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</si>
  <si>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</si>
  <si>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</si>
  <si>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</si>
  <si>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</si>
  <si>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</si>
  <si>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</si>
  <si>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</si>
  <si>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</si>
  <si>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</si>
  <si>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</si>
  <si>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</si>
  <si>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</si>
  <si>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</si>
  <si>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</si>
  <si>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</si>
  <si>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</si>
  <si>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</si>
  <si>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</si>
  <si>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</si>
  <si>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</si>
  <si>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</si>
  <si>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</si>
  <si>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</si>
  <si>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</si>
  <si>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</si>
  <si>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</si>
  <si>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</si>
  <si>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</si>
  <si>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</si>
  <si>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</si>
  <si>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</si>
  <si>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</si>
  <si>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</si>
  <si>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</si>
  <si>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</si>
  <si>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</si>
  <si>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</si>
  <si>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</si>
  <si>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</si>
  <si>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</si>
  <si>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</si>
  <si>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</si>
  <si>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</si>
  <si>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</si>
  <si>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</si>
  <si>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</si>
  <si>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</si>
  <si>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</si>
  <si>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</si>
  <si>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</si>
  <si>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</si>
  <si>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</si>
  <si>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</si>
  <si>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</si>
  <si>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</si>
  <si>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</si>
  <si>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</si>
  <si>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</si>
  <si>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</si>
  <si>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</si>
  <si>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</si>
  <si>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</si>
  <si>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</si>
  <si>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</si>
  <si>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</si>
  <si>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</si>
  <si>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</si>
  <si>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</si>
  <si>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</si>
  <si>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</si>
  <si>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</si>
  <si>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</si>
  <si>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</si>
  <si>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</si>
  <si>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</si>
  <si>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</si>
  <si>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</si>
  <si>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</si>
  <si>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</si>
  <si>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</si>
  <si>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</si>
  <si>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</si>
  <si>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</si>
  <si>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</si>
  <si>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</si>
  <si>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</si>
  <si>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</si>
  <si>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</si>
  <si>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</si>
  <si>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</si>
  <si>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</si>
  <si>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</si>
  <si>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</si>
  <si>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</si>
  <si>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</si>
  <si>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</si>
  <si>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</si>
  <si>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</si>
  <si>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</si>
  <si>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</si>
  <si>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</si>
  <si>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</si>
  <si>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</si>
  <si>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</si>
  <si>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</si>
  <si>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</si>
  <si>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</si>
  <si>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</si>
  <si>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</si>
  <si>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</si>
  <si>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</si>
  <si>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</si>
  <si>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</si>
  <si>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</si>
  <si>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</si>
  <si>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</si>
  <si>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</si>
  <si>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</si>
  <si>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</si>
  <si>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</si>
  <si>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</si>
  <si>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</si>
  <si>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</si>
  <si>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</si>
  <si>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</si>
  <si>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</si>
  <si>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</si>
  <si>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</si>
  <si>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</si>
  <si>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</si>
  <si>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</si>
  <si>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</si>
  <si>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</si>
  <si>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</si>
  <si>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</si>
  <si>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</si>
  <si>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</si>
  <si>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</si>
  <si>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</si>
  <si>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</si>
  <si>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</si>
  <si>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</si>
  <si>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</si>
  <si>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</si>
  <si>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</si>
  <si>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</si>
  <si>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</si>
  <si>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</si>
  <si>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</si>
  <si>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</si>
  <si>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</si>
  <si>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</si>
  <si>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</si>
  <si>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</si>
  <si>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</si>
  <si>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</si>
  <si>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</si>
  <si>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</si>
  <si>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</si>
  <si>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</si>
  <si>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</si>
  <si>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</si>
  <si>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</si>
  <si>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</si>
  <si>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</si>
  <si>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</si>
  <si>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</si>
  <si>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</si>
  <si>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</si>
  <si>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</si>
  <si>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</si>
  <si>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</si>
  <si>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</si>
  <si>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</si>
  <si>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</si>
  <si>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</si>
  <si>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</si>
  <si>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</si>
  <si>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</si>
  <si>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</si>
  <si>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</si>
  <si>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</si>
  <si>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</si>
  <si>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</si>
  <si>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</si>
  <si>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</si>
  <si>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</si>
  <si>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</si>
  <si>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</si>
  <si>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</si>
  <si>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</si>
  <si>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</si>
  <si>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</si>
  <si>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</si>
  <si>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</si>
  <si>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</si>
  <si>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</si>
  <si>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</si>
  <si>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</si>
  <si>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</si>
  <si>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</si>
  <si>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</si>
  <si>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</si>
  <si>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</si>
  <si>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</si>
  <si>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</si>
  <si>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</si>
  <si>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</si>
  <si>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</si>
  <si>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</si>
  <si>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</si>
  <si>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</si>
  <si>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</si>
  <si>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</si>
  <si>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</si>
  <si>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</si>
  <si>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</si>
  <si>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</si>
  <si>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</si>
  <si>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</si>
  <si>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</si>
  <si>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</si>
  <si>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</si>
  <si>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</si>
  <si>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</si>
  <si>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</si>
  <si>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</si>
  <si>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</si>
  <si>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</si>
  <si>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</si>
  <si>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</si>
  <si>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display b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</si>
  <si>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</si>
  <si>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</si>
  <si>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</si>
  <si>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</si>
  <si>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</si>
  <si>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</si>
  <si>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</si>
  <si>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</si>
  <si>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Comment9</t>
  </si>
  <si>
    <t>SHR</t>
  </si>
  <si>
    <t>X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</si>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</sst>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8.414583680555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omment9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4">
        <s v=""/>
        <m/>
        <s v="Successful" u="1"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0"/>
        <item m="1" x="3"/>
        <item m="1" x="2"/>
        <item h="1" x="1"/>
        <item t="default"/>
      </items>
    </pivotField>
  </pivotFields>
  <rowFields count="1">
    <field x="6"/>
  </rowFields>
  <rowItems count="1">
    <i t="grand">
      <x/>
    </i>
  </rowItems>
  <colFields count="1">
    <field x="28"/>
  </colFields>
  <colItems count="1"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1" xr3:uid="{520A2281-2436-4088-944B-DACE8F490E6F}" name="Comment9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abSelected="1" topLeftCell="B1" workbookViewId="0">
      <selection activeCell="D32" sqref="D32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524</v>
      </c>
      <c r="B1" s="1" t="s">
        <v>525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523</v>
      </c>
    </row>
    <row r="2" spans="1:24" ht="15.75" thickTop="1">
      <c r="A2" s="2" t="str">
        <f>_xlfn.TEXTJOIN("",TRUE,Input!$B$2,ROW(My_Audit!A1)+3934)</f>
        <v>X3935</v>
      </c>
      <c r="B2" s="2" t="str">
        <f>_xlfn.TEXTJOIN("-",TRUE,"ITD",Input!$A$2,A2)</f>
        <v>ITD-SHR-X3935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 t="str">
        <f>_xlfn.XLOOKUP(A2,My_Audit!A:A,My_Audit!D:D,"")</f>
        <v/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CSV!AD:AD,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_xlpm.CSVVal,_xlfn.XLOOKUP($A2,CSV!$A:$A,CSV!AE:AE,""),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_xlpm.CSVVal,_xlfn.XLOOKUP($A2,CSV!$A:$A,CSV!AF:AF,""),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_xlfn.TEXTJOIN("",TRUE,Input!$B$2,ROW(My_Audit!A2)+3934)</f>
        <v>X3936</v>
      </c>
      <c r="B3" s="2" t="str">
        <f>_xlfn.TEXTJOIN("-",TRUE,"ITD",Input!$A$2,A3)</f>
        <v>ITD-SHR-X3936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 t="str">
        <f>_xlfn.XLOOKUP(A3,My_Audit!A:A,My_Audit!D:D,"")</f>
        <v/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CSV!AD:AD,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_xlpm.CSVVal,_xlfn.XLOOKUP($A3,CSV!$A:$A,CSV!AE:AE,""),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_xlpm.CSVVal,_xlfn.XLOOKUP($A3,CSV!$A:$A,CSV!AF:AF,""),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_xlfn.TEXTJOIN("",TRUE,Input!$B$2,ROW(My_Audit!A3)+3934)</f>
        <v>X3937</v>
      </c>
      <c r="B4" s="2" t="str">
        <f>_xlfn.TEXTJOIN("-",TRUE,"ITD",Input!$A$2,A4)</f>
        <v>ITD-SHR-X3937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 t="str">
        <f>_xlfn.XLOOKUP(A4,My_Audit!A:A,My_Audit!D:D,"")</f>
        <v/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CSV!AD:AD,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_xlpm.CSVVal,_xlfn.XLOOKUP($A4,CSV!$A:$A,CSV!AE:AE,""),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_xlpm.CSVVal,_xlfn.XLOOKUP($A4,CSV!$A:$A,CSV!AF:AF,""),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_xlfn.TEXTJOIN("",TRUE,Input!$B$2,ROW(My_Audit!A4)+3934)</f>
        <v>X3938</v>
      </c>
      <c r="B5" s="2" t="str">
        <f>_xlfn.TEXTJOIN("-",TRUE,"ITD",Input!$A$2,A5)</f>
        <v>ITD-SHR-X3938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 t="str">
        <f>_xlfn.XLOOKUP(A5,My_Audit!A:A,My_Audit!D:D,"")</f>
        <v/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CSV!AD:AD,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_xlpm.CSVVal,_xlfn.XLOOKUP($A5,CSV!$A:$A,CSV!AE:AE,""),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_xlpm.CSVVal,_xlfn.XLOOKUP($A5,CSV!$A:$A,CSV!AF:AF,""),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_xlfn.TEXTJOIN("",TRUE,Input!$B$2,ROW(My_Audit!A5)+3934)</f>
        <v>X3939</v>
      </c>
      <c r="B6" s="2" t="str">
        <f>_xlfn.TEXTJOIN("-",TRUE,"ITD",Input!$A$2,A6)</f>
        <v>ITD-SHR-X3939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 t="str">
        <f>_xlfn.XLOOKUP(A6,My_Audit!A:A,My_Audit!D:D,"")</f>
        <v/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CSV!AD:AD,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_xlpm.CSVVal,_xlfn.XLOOKUP($A6,CSV!$A:$A,CSV!AE:AE,""),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_xlpm.CSVVal,_xlfn.XLOOKUP($A6,CSV!$A:$A,CSV!AF:AF,""),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_xlfn.TEXTJOIN("",TRUE,Input!$B$2,ROW(My_Audit!A6)+3934)</f>
        <v>X3940</v>
      </c>
      <c r="B7" s="2" t="str">
        <f>_xlfn.TEXTJOIN("-",TRUE,"ITD",Input!$A$2,A7)</f>
        <v>ITD-SHR-X3940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 t="str">
        <f>_xlfn.XLOOKUP(A7,My_Audit!A:A,My_Audit!D:D,"")</f>
        <v/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CSV!AD:AD,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_xlpm.CSVVal,_xlfn.XLOOKUP($A7,CSV!$A:$A,CSV!AE:AE,""),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_xlpm.CSVVal,_xlfn.XLOOKUP($A7,CSV!$A:$A,CSV!AF:AF,""),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_xlfn.TEXTJOIN("",TRUE,Input!$B$2,ROW(My_Audit!A7)+3934)</f>
        <v>X3941</v>
      </c>
      <c r="B8" s="2" t="str">
        <f>_xlfn.TEXTJOIN("-",TRUE,"ITD",Input!$A$2,A8)</f>
        <v>ITD-SHR-X3941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 t="str">
        <f>_xlfn.XLOOKUP(A8,My_Audit!A:A,My_Audit!D:D,"")</f>
        <v/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CSV!AD:AD,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_xlpm.CSVVal,_xlfn.XLOOKUP($A8,CSV!$A:$A,CSV!AE:AE,""),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_xlpm.CSVVal,_xlfn.XLOOKUP($A8,CSV!$A:$A,CSV!AF:AF,""),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_xlfn.TEXTJOIN("",TRUE,Input!$B$2,ROW(My_Audit!A8)+3934)</f>
        <v>X3942</v>
      </c>
      <c r="B9" s="2" t="str">
        <f>_xlfn.TEXTJOIN("-",TRUE,"ITD",Input!$A$2,A9)</f>
        <v>ITD-SHR-X3942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 t="str">
        <f>_xlfn.XLOOKUP(A9,My_Audit!A:A,My_Audit!D:D,"")</f>
        <v/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CSV!AD:AD,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_xlpm.CSVVal,_xlfn.XLOOKUP($A9,CSV!$A:$A,CSV!AE:AE,""),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_xlpm.CSVVal,_xlfn.XLOOKUP($A9,CSV!$A:$A,CSV!AF:AF,""),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_xlfn.TEXTJOIN("",TRUE,Input!$B$2,ROW(My_Audit!A9)+3934)</f>
        <v>X3943</v>
      </c>
      <c r="B10" s="2" t="str">
        <f>_xlfn.TEXTJOIN("-",TRUE,"ITD",Input!$A$2,A10)</f>
        <v>ITD-SHR-X3943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 t="str">
        <f>_xlfn.XLOOKUP(A10,My_Audit!A:A,My_Audit!D:D,"")</f>
        <v/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CSV!AD:AD,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_xlpm.CSVVal,_xlfn.XLOOKUP($A10,CSV!$A:$A,CSV!AE:AE,""),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_xlpm.CSVVal,_xlfn.XLOOKUP($A10,CSV!$A:$A,CSV!AF:AF,""),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_xlfn.TEXTJOIN("",TRUE,Input!$B$2,ROW(My_Audit!A10)+3934)</f>
        <v>X3944</v>
      </c>
      <c r="B11" s="2" t="str">
        <f>_xlfn.TEXTJOIN("-",TRUE,"ITD",Input!$A$2,A11)</f>
        <v>ITD-SHR-X3944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 t="str">
        <f>_xlfn.XLOOKUP(A11,My_Audit!A:A,My_Audit!D:D,"")</f>
        <v/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CSV!AD:AD,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_xlpm.CSVVal,_xlfn.XLOOKUP($A11,CSV!$A:$A,CSV!AE:AE,""),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_xlpm.CSVVal,_xlfn.XLOOKUP($A11,CSV!$A:$A,CSV!AF:AF,""),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_xlfn.TEXTJOIN("",TRUE,Input!$B$2,ROW(My_Audit!A11)+3934)</f>
        <v>X3945</v>
      </c>
      <c r="B12" s="2" t="str">
        <f>_xlfn.TEXTJOIN("-",TRUE,"ITD",Input!$A$2,A12)</f>
        <v>ITD-SHR-X3945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 t="str">
        <f>_xlfn.XLOOKUP(A12,My_Audit!A:A,My_Audit!D:D,"")</f>
        <v/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CSV!AD:AD,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_xlpm.CSVVal,_xlfn.XLOOKUP($A12,CSV!$A:$A,CSV!AE:AE,""),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_xlpm.CSVVal,_xlfn.XLOOKUP($A12,CSV!$A:$A,CSV!AF:AF,""),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_xlfn.TEXTJOIN("",TRUE,Input!$B$2,ROW(My_Audit!A12)+3934)</f>
        <v>X3946</v>
      </c>
      <c r="B13" s="2" t="str">
        <f>_xlfn.TEXTJOIN("-",TRUE,"ITD",Input!$A$2,A13)</f>
        <v>ITD-SHR-X3946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 t="str">
        <f>_xlfn.XLOOKUP(A13,My_Audit!A:A,My_Audit!D:D,"")</f>
        <v/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CSV!AD:AD,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_xlpm.CSVVal,_xlfn.XLOOKUP($A13,CSV!$A:$A,CSV!AE:AE,""),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_xlpm.CSVVal,_xlfn.XLOOKUP($A13,CSV!$A:$A,CSV!AF:AF,""),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_xlfn.TEXTJOIN("",TRUE,Input!$B$2,ROW(My_Audit!A13)+3934)</f>
        <v>X3947</v>
      </c>
      <c r="B14" s="2" t="str">
        <f>_xlfn.TEXTJOIN("-",TRUE,"ITD",Input!$A$2,A14)</f>
        <v>ITD-SHR-X3947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 t="str">
        <f>_xlfn.XLOOKUP(A14,My_Audit!A:A,My_Audit!D:D,"")</f>
        <v/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CSV!AD:AD,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_xlpm.CSVVal,_xlfn.XLOOKUP($A14,CSV!$A:$A,CSV!AE:AE,""),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_xlpm.CSVVal,_xlfn.XLOOKUP($A14,CSV!$A:$A,CSV!AF:AF,""),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_xlfn.TEXTJOIN("",TRUE,Input!$B$2,ROW(My_Audit!A14)+3934)</f>
        <v>X3948</v>
      </c>
      <c r="B15" s="2" t="str">
        <f>_xlfn.TEXTJOIN("-",TRUE,"ITD",Input!$A$2,A15)</f>
        <v>ITD-SHR-X3948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 t="str">
        <f>_xlfn.XLOOKUP(A15,My_Audit!A:A,My_Audit!D:D,"")</f>
        <v/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CSV!AD:AD,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_xlpm.CSVVal,_xlfn.XLOOKUP($A15,CSV!$A:$A,CSV!AE:AE,""),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_xlpm.CSVVal,_xlfn.XLOOKUP($A15,CSV!$A:$A,CSV!AF:AF,""),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_xlfn.TEXTJOIN("",TRUE,Input!$B$2,ROW(My_Audit!A15)+3934)</f>
        <v>X3949</v>
      </c>
      <c r="B16" s="2" t="str">
        <f>_xlfn.TEXTJOIN("-",TRUE,"ITD",Input!$A$2,A16)</f>
        <v>ITD-SHR-X3949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 t="str">
        <f>_xlfn.XLOOKUP(A16,My_Audit!A:A,My_Audit!D:D,"")</f>
        <v/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CSV!AD:AD,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_xlpm.CSVVal,_xlfn.XLOOKUP($A16,CSV!$A:$A,CSV!AE:AE,""),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_xlpm.CSVVal,_xlfn.XLOOKUP($A16,CSV!$A:$A,CSV!AF:AF,""),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_xlfn.TEXTJOIN("",TRUE,Input!$B$2,ROW(My_Audit!A16)+3934)</f>
        <v>X3950</v>
      </c>
      <c r="B17" s="2" t="str">
        <f>_xlfn.TEXTJOIN("-",TRUE,"ITD",Input!$A$2,A17)</f>
        <v>ITD-SHR-X3950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 t="str">
        <f>_xlfn.XLOOKUP(A17,My_Audit!A:A,My_Audit!D:D,"")</f>
        <v/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CSV!AD:AD,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_xlpm.CSVVal,_xlfn.XLOOKUP($A17,CSV!$A:$A,CSV!AE:AE,""),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_xlpm.CSVVal,_xlfn.XLOOKUP($A17,CSV!$A:$A,CSV!AF:AF,""),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_xlfn.TEXTJOIN("",TRUE,Input!$B$2,ROW(My_Audit!A17)+3934)</f>
        <v>X3951</v>
      </c>
      <c r="B18" s="2" t="str">
        <f>_xlfn.TEXTJOIN("-",TRUE,"ITD",Input!$A$2,A18)</f>
        <v>ITD-SHR-X3951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 t="str">
        <f>_xlfn.XLOOKUP(A18,My_Audit!A:A,My_Audit!D:D,"")</f>
        <v/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CSV!AD:AD,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_xlpm.CSVVal,_xlfn.XLOOKUP($A18,CSV!$A:$A,CSV!AE:AE,""),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_xlpm.CSVVal,_xlfn.XLOOKUP($A18,CSV!$A:$A,CSV!AF:AF,""),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_xlfn.TEXTJOIN("",TRUE,Input!$B$2,ROW(My_Audit!A18)+3934)</f>
        <v>X3952</v>
      </c>
      <c r="B19" s="2" t="str">
        <f>_xlfn.TEXTJOIN("-",TRUE,"ITD",Input!$A$2,A19)</f>
        <v>ITD-SHR-X3952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 t="str">
        <f>_xlfn.XLOOKUP(A19,My_Audit!A:A,My_Audit!D:D,"")</f>
        <v/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CSV!AD:AD,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_xlpm.CSVVal,_xlfn.XLOOKUP($A19,CSV!$A:$A,CSV!AE:AE,""),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_xlpm.CSVVal,_xlfn.XLOOKUP($A19,CSV!$A:$A,CSV!AF:AF,""),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_xlfn.TEXTJOIN("",TRUE,Input!$B$2,ROW(My_Audit!A19)+3934)</f>
        <v>X3953</v>
      </c>
      <c r="B20" s="2" t="str">
        <f>_xlfn.TEXTJOIN("-",TRUE,"ITD",Input!$A$2,A20)</f>
        <v>ITD-SHR-X3953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 t="str">
        <f>_xlfn.XLOOKUP(A20,My_Audit!A:A,My_Audit!D:D,"")</f>
        <v/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CSV!AD:AD,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_xlpm.CSVVal,_xlfn.XLOOKUP($A20,CSV!$A:$A,CSV!AE:AE,""),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_xlpm.CSVVal,_xlfn.XLOOKUP($A20,CSV!$A:$A,CSV!AF:AF,""),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_xlfn.TEXTJOIN("",TRUE,Input!$B$2,ROW(My_Audit!A20)+3934)</f>
        <v>X3954</v>
      </c>
      <c r="B21" s="2" t="str">
        <f>_xlfn.TEXTJOIN("-",TRUE,"ITD",Input!$A$2,A21)</f>
        <v>ITD-SHR-X3954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 t="str">
        <f>_xlfn.XLOOKUP(A21,My_Audit!A:A,My_Audit!D:D,"")</f>
        <v/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CSV!AD:AD,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_xlpm.CSVVal,_xlfn.XLOOKUP($A21,CSV!$A:$A,CSV!AE:AE,""),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_xlpm.CSVVal,_xlfn.XLOOKUP($A21,CSV!$A:$A,CSV!AF:AF,""),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_xlfn.TEXTJOIN("",TRUE,Input!$B$2,ROW(My_Audit!A21)+3934)</f>
        <v>X3955</v>
      </c>
      <c r="B22" s="2" t="str">
        <f>_xlfn.TEXTJOIN("-",TRUE,"ITD",Input!$A$2,A22)</f>
        <v>ITD-SHR-X3955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 t="str">
        <f>_xlfn.XLOOKUP(A22,My_Audit!A:A,My_Audit!D:D,"")</f>
        <v/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CSV!AD:AD,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_xlpm.CSVVal,_xlfn.XLOOKUP($A22,CSV!$A:$A,CSV!AE:AE,""),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_xlpm.CSVVal,_xlfn.XLOOKUP($A22,CSV!$A:$A,CSV!AF:AF,""),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_xlfn.TEXTJOIN("",TRUE,Input!$B$2,ROW(My_Audit!A22)+3934)</f>
        <v>X3956</v>
      </c>
      <c r="B23" s="2" t="str">
        <f>_xlfn.TEXTJOIN("-",TRUE,"ITD",Input!$A$2,A23)</f>
        <v>ITD-SHR-X3956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 t="str">
        <f>_xlfn.XLOOKUP(A23,My_Audit!A:A,My_Audit!D:D,"")</f>
        <v/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CSV!AD:AD,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_xlpm.CSVVal,_xlfn.XLOOKUP($A23,CSV!$A:$A,CSV!AE:AE,""),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_xlpm.CSVVal,_xlfn.XLOOKUP($A23,CSV!$A:$A,CSV!AF:AF,""),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_xlfn.TEXTJOIN("",TRUE,Input!$B$2,ROW(My_Audit!A23)+3934)</f>
        <v>X3957</v>
      </c>
      <c r="B24" s="2" t="str">
        <f>_xlfn.TEXTJOIN("-",TRUE,"ITD",Input!$A$2,A24)</f>
        <v>ITD-SHR-X3957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 t="str">
        <f>_xlfn.XLOOKUP(A24,My_Audit!A:A,My_Audit!D:D,"")</f>
        <v/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CSV!AD:AD,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_xlpm.CSVVal,_xlfn.XLOOKUP($A24,CSV!$A:$A,CSV!AE:AE,""),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_xlpm.CSVVal,_xlfn.XLOOKUP($A24,CSV!$A:$A,CSV!AF:AF,""),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_xlfn.TEXTJOIN("",TRUE,Input!$B$2,ROW(My_Audit!A24)+3934)</f>
        <v>X3958</v>
      </c>
      <c r="B25" s="2" t="str">
        <f>_xlfn.TEXTJOIN("-",TRUE,"ITD",Input!$A$2,A25)</f>
        <v>ITD-SHR-X3958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 t="str">
        <f>_xlfn.XLOOKUP(A25,My_Audit!A:A,My_Audit!D:D,"")</f>
        <v/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CSV!AD:AD,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_xlpm.CSVVal,_xlfn.XLOOKUP($A25,CSV!$A:$A,CSV!AE:AE,""),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_xlpm.CSVVal,_xlfn.XLOOKUP($A25,CSV!$A:$A,CSV!AF:AF,""),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_xlfn.TEXTJOIN("",TRUE,Input!$B$2,ROW(My_Audit!A25)+3934)</f>
        <v>X3959</v>
      </c>
      <c r="B26" s="2" t="str">
        <f>_xlfn.TEXTJOIN("-",TRUE,"ITD",Input!$A$2,A26)</f>
        <v>ITD-SHR-X3959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 t="str">
        <f>_xlfn.XLOOKUP(A26,My_Audit!A:A,My_Audit!D:D,"")</f>
        <v/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CSV!AD:AD,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_xlpm.CSVVal,_xlfn.XLOOKUP($A26,CSV!$A:$A,CSV!AE:AE,""),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_xlpm.CSVVal,_xlfn.XLOOKUP($A26,CSV!$A:$A,CSV!AF:AF,""),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_xlfn.TEXTJOIN("",TRUE,Input!$B$2,ROW(My_Audit!A26)+3934)</f>
        <v>X3960</v>
      </c>
      <c r="B27" s="2" t="str">
        <f>_xlfn.TEXTJOIN("-",TRUE,"ITD",Input!$A$2,A27)</f>
        <v>ITD-SHR-X3960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 t="str">
        <f>_xlfn.XLOOKUP(A27,My_Audit!A:A,My_Audit!D:D,"")</f>
        <v/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CSV!AD:AD,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_xlpm.CSVVal,_xlfn.XLOOKUP($A27,CSV!$A:$A,CSV!AE:AE,""),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_xlpm.CSVVal,_xlfn.XLOOKUP($A27,CSV!$A:$A,CSV!AF:AF,""),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_xlfn.TEXTJOIN("",TRUE,Input!$B$2,ROW(My_Audit!A27)+3934)</f>
        <v>X3961</v>
      </c>
      <c r="B28" s="2" t="str">
        <f>_xlfn.TEXTJOIN("-",TRUE,"ITD",Input!$A$2,A28)</f>
        <v>ITD-SHR-X3961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 t="str">
        <f>_xlfn.XLOOKUP(A28,My_Audit!A:A,My_Audit!D:D,"")</f>
        <v/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">
        <v>527</v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CSV!AD:AD,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_xlpm.CSVVal,_xlfn.XLOOKUP($A28,CSV!$A:$A,CSV!AE:AE,""),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_xlpm.CSVVal,_xlfn.XLOOKUP($A28,CSV!$A:$A,CSV!AF:AF,""),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_xlfn.TEXTJOIN("",TRUE,Input!$B$2,ROW(My_Audit!A28)+3934)</f>
        <v>X3962</v>
      </c>
      <c r="B29" s="2" t="str">
        <f>_xlfn.TEXTJOIN("-",TRUE,"ITD",Input!$A$2,A29)</f>
        <v>ITD-SHR-X3962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 t="str">
        <f>_xlfn.XLOOKUP(A29,My_Audit!A:A,My_Audit!D:D,"")</f>
        <v/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CSV!AD:AD,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_xlpm.CSVVal,_xlfn.XLOOKUP($A29,CSV!$A:$A,CSV!AE:AE,""),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_xlpm.CSVVal,_xlfn.XLOOKUP($A29,CSV!$A:$A,CSV!AF:AF,""),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_xlfn.TEXTJOIN("",TRUE,Input!$B$2,ROW(My_Audit!A29)+3934)</f>
        <v>X3963</v>
      </c>
      <c r="B30" s="2" t="str">
        <f>_xlfn.TEXTJOIN("-",TRUE,"ITD",Input!$A$2,A30)</f>
        <v>ITD-SHR-X3963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 t="str">
        <f>_xlfn.XLOOKUP(A30,My_Audit!A:A,My_Audit!D:D,"")</f>
        <v/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CSV!AD:AD,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_xlpm.CSVVal,_xlfn.XLOOKUP($A30,CSV!$A:$A,CSV!AE:AE,""),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_xlpm.CSVVal,_xlfn.XLOOKUP($A30,CSV!$A:$A,CSV!AF:AF,""),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_xlfn.TEXTJOIN("",TRUE,Input!$B$2,ROW(My_Audit!A30)+3934)</f>
        <v>X3964</v>
      </c>
      <c r="B31" s="2" t="str">
        <f>_xlfn.TEXTJOIN("-",TRUE,"ITD",Input!$A$2,A31)</f>
        <v>ITD-SHR-X3964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 t="str">
        <f>_xlfn.XLOOKUP(A31,My_Audit!A:A,My_Audit!D:D,"")</f>
        <v/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CSV!AD:AD,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_xlpm.CSVVal,_xlfn.XLOOKUP($A31,CSV!$A:$A,CSV!AE:AE,""),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_xlpm.CSVVal,_xlfn.XLOOKUP($A31,CSV!$A:$A,CSV!AF:AF,""),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_xlfn.TEXTJOIN("",TRUE,Input!$B$2,ROW(My_Audit!A31)+3934)</f>
        <v>X3965</v>
      </c>
      <c r="B32" s="2" t="str">
        <f>_xlfn.TEXTJOIN("-",TRUE,"ITD",Input!$A$2,A32)</f>
        <v>ITD-SHR-X3965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 t="str">
        <f>_xlfn.XLOOKUP(A32,My_Audit!A:A,My_Audit!D:D,"")</f>
        <v/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CSV!AD:AD,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_xlpm.CSVVal,_xlfn.XLOOKUP($A32,CSV!$A:$A,CSV!AE:AE,""),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_xlpm.CSVVal,_xlfn.XLOOKUP($A32,CSV!$A:$A,CSV!AF:AF,""),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_xlfn.TEXTJOIN("",TRUE,Input!$B$2,ROW(My_Audit!A32)+3934)</f>
        <v>X3966</v>
      </c>
      <c r="B33" s="2" t="str">
        <f>_xlfn.TEXTJOIN("-",TRUE,"ITD",Input!$A$2,A33)</f>
        <v>ITD-SHR-X3966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 t="str">
        <f>_xlfn.XLOOKUP(A33,My_Audit!A:A,My_Audit!D:D,"")</f>
        <v/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CSV!AD:AD,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_xlpm.CSVVal,_xlfn.XLOOKUP($A33,CSV!$A:$A,CSV!AE:AE,""),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_xlpm.CSVVal,_xlfn.XLOOKUP($A33,CSV!$A:$A,CSV!AF:AF,""),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_xlfn.TEXTJOIN("",TRUE,Input!$B$2,ROW(My_Audit!A33)+3934)</f>
        <v>X3967</v>
      </c>
      <c r="B34" s="2" t="str">
        <f>_xlfn.TEXTJOIN("-",TRUE,"ITD",Input!$A$2,A34)</f>
        <v>ITD-SHR-X3967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 t="str">
        <f>_xlfn.XLOOKUP(A34,My_Audit!A:A,My_Audit!D:D,"")</f>
        <v/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CSV!AD:AD,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_xlpm.CSVVal,_xlfn.XLOOKUP($A34,CSV!$A:$A,CSV!AE:AE,""),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_xlpm.CSVVal,_xlfn.XLOOKUP($A34,CSV!$A:$A,CSV!AF:AF,""),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_xlfn.TEXTJOIN("",TRUE,Input!$B$2,ROW(My_Audit!A34)+3934)</f>
        <v>X3968</v>
      </c>
      <c r="B35" s="2" t="str">
        <f>_xlfn.TEXTJOIN("-",TRUE,"ITD",Input!$A$2,A35)</f>
        <v>ITD-SHR-X3968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 t="str">
        <f>_xlfn.XLOOKUP(A35,My_Audit!A:A,My_Audit!D:D,"")</f>
        <v/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CSV!AD:AD,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_xlpm.CSVVal,_xlfn.XLOOKUP($A35,CSV!$A:$A,CSV!AE:AE,""),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_xlpm.CSVVal,_xlfn.XLOOKUP($A35,CSV!$A:$A,CSV!AF:AF,""),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_xlfn.TEXTJOIN("",TRUE,Input!$B$2,ROW(My_Audit!A35)+3934)</f>
        <v>X3969</v>
      </c>
      <c r="B36" s="2" t="str">
        <f>_xlfn.TEXTJOIN("-",TRUE,"ITD",Input!$A$2,A36)</f>
        <v>ITD-SHR-X3969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 t="str">
        <f>_xlfn.XLOOKUP(A36,My_Audit!A:A,My_Audit!D:D,"")</f>
        <v/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CSV!AD:AD,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_xlpm.CSVVal,_xlfn.XLOOKUP($A36,CSV!$A:$A,CSV!AE:AE,""),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_xlpm.CSVVal,_xlfn.XLOOKUP($A36,CSV!$A:$A,CSV!AF:AF,""),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_xlfn.TEXTJOIN("",TRUE,Input!$B$2,ROW(My_Audit!A36)+3934)</f>
        <v>X3970</v>
      </c>
      <c r="B37" s="2" t="str">
        <f>_xlfn.TEXTJOIN("-",TRUE,"ITD",Input!$A$2,A37)</f>
        <v>ITD-SHR-X3970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 t="str">
        <f>_xlfn.XLOOKUP(A37,My_Audit!A:A,My_Audit!D:D,"")</f>
        <v/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CSV!AD:AD,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_xlpm.CSVVal,_xlfn.XLOOKUP($A37,CSV!$A:$A,CSV!AE:AE,""),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_xlpm.CSVVal,_xlfn.XLOOKUP($A37,CSV!$A:$A,CSV!AF:AF,""),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_xlfn.TEXTJOIN("",TRUE,Input!$B$2,ROW(My_Audit!A37)+3934)</f>
        <v>X3971</v>
      </c>
      <c r="B38" s="2" t="str">
        <f>_xlfn.TEXTJOIN("-",TRUE,"ITD",Input!$A$2,A38)</f>
        <v>ITD-SHR-X3971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 t="str">
        <f>_xlfn.XLOOKUP(A38,My_Audit!A:A,My_Audit!D:D,"")</f>
        <v/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CSV!AD:AD,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_xlpm.CSVVal,_xlfn.XLOOKUP($A38,CSV!$A:$A,CSV!AE:AE,""),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_xlpm.CSVVal,_xlfn.XLOOKUP($A38,CSV!$A:$A,CSV!AF:AF,""),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_xlfn.TEXTJOIN("",TRUE,Input!$B$2,ROW(My_Audit!A38)+3934)</f>
        <v>X3972</v>
      </c>
      <c r="B39" s="2" t="str">
        <f>_xlfn.TEXTJOIN("-",TRUE,"ITD",Input!$A$2,A39)</f>
        <v>ITD-SHR-X3972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 t="str">
        <f>_xlfn.XLOOKUP(A39,My_Audit!A:A,My_Audit!D:D,"")</f>
        <v/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CSV!AD:AD,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_xlpm.CSVVal,_xlfn.XLOOKUP($A39,CSV!$A:$A,CSV!AE:AE,""),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_xlpm.CSVVal,_xlfn.XLOOKUP($A39,CSV!$A:$A,CSV!AF:AF,""),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_xlfn.TEXTJOIN("",TRUE,Input!$B$2,ROW(My_Audit!A39)+3934)</f>
        <v>X3973</v>
      </c>
      <c r="B40" s="2" t="str">
        <f>_xlfn.TEXTJOIN("-",TRUE,"ITD",Input!$A$2,A40)</f>
        <v>ITD-SHR-X3973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 t="str">
        <f>_xlfn.XLOOKUP(A40,My_Audit!A:A,My_Audit!D:D,"")</f>
        <v/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CSV!AD:AD,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_xlpm.CSVVal,_xlfn.XLOOKUP($A40,CSV!$A:$A,CSV!AE:AE,""),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_xlpm.CSVVal,_xlfn.XLOOKUP($A40,CSV!$A:$A,CSV!AF:AF,""),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_xlfn.TEXTJOIN("",TRUE,Input!$B$2,ROW(My_Audit!A40)+3934)</f>
        <v>X3974</v>
      </c>
      <c r="B41" s="2" t="str">
        <f>_xlfn.TEXTJOIN("-",TRUE,"ITD",Input!$A$2,A41)</f>
        <v>ITD-SHR-X3974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 t="str">
        <f>_xlfn.XLOOKUP(A41,My_Audit!A:A,My_Audit!D:D,"")</f>
        <v/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CSV!AD:AD,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_xlpm.CSVVal,_xlfn.XLOOKUP($A41,CSV!$A:$A,CSV!AE:AE,""),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_xlpm.CSVVal,_xlfn.XLOOKUP($A41,CSV!$A:$A,CSV!AF:AF,""),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_xlfn.TEXTJOIN("",TRUE,Input!$B$2,ROW(My_Audit!A41)+3934)</f>
        <v>X3975</v>
      </c>
      <c r="B42" s="2" t="str">
        <f>_xlfn.TEXTJOIN("-",TRUE,"ITD",Input!$A$2,A42)</f>
        <v>ITD-SHR-X3975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 t="str">
        <f>_xlfn.XLOOKUP(A42,My_Audit!A:A,My_Audit!D:D,"")</f>
        <v/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CSV!AD:AD,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_xlpm.CSVVal,_xlfn.XLOOKUP($A42,CSV!$A:$A,CSV!AE:AE,""),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_xlpm.CSVVal,_xlfn.XLOOKUP($A42,CSV!$A:$A,CSV!AF:AF,""),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_xlfn.TEXTJOIN("",TRUE,Input!$B$2,ROW(My_Audit!A42)+3934)</f>
        <v>X3976</v>
      </c>
      <c r="B43" s="2" t="str">
        <f>_xlfn.TEXTJOIN("-",TRUE,"ITD",Input!$A$2,A43)</f>
        <v>ITD-SHR-X3976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 t="str">
        <f>_xlfn.XLOOKUP(A43,My_Audit!A:A,My_Audit!D:D,"")</f>
        <v/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CSV!AD:AD,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_xlpm.CSVVal,_xlfn.XLOOKUP($A43,CSV!$A:$A,CSV!AE:AE,""),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_xlpm.CSVVal,_xlfn.XLOOKUP($A43,CSV!$A:$A,CSV!AF:AF,""),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_xlfn.TEXTJOIN("",TRUE,Input!$B$2,ROW(My_Audit!A43)+3934)</f>
        <v>X3977</v>
      </c>
      <c r="B44" s="2" t="str">
        <f>_xlfn.TEXTJOIN("-",TRUE,"ITD",Input!$A$2,A44)</f>
        <v>ITD-SHR-X3977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 t="str">
        <f>_xlfn.XLOOKUP(A44,My_Audit!A:A,My_Audit!D:D,"")</f>
        <v/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CSV!AD:AD,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_xlpm.CSVVal,_xlfn.XLOOKUP($A44,CSV!$A:$A,CSV!AE:AE,""),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_xlpm.CSVVal,_xlfn.XLOOKUP($A44,CSV!$A:$A,CSV!AF:AF,""),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_xlfn.TEXTJOIN("",TRUE,Input!$B$2,ROW(My_Audit!A44)+3934)</f>
        <v>X3978</v>
      </c>
      <c r="B45" s="2" t="str">
        <f>_xlfn.TEXTJOIN("-",TRUE,"ITD",Input!$A$2,A45)</f>
        <v>ITD-SHR-X3978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 t="str">
        <f>_xlfn.XLOOKUP(A45,My_Audit!A:A,My_Audit!D:D,"")</f>
        <v/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CSV!AD:AD,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_xlpm.CSVVal,_xlfn.XLOOKUP($A45,CSV!$A:$A,CSV!AE:AE,""),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_xlpm.CSVVal,_xlfn.XLOOKUP($A45,CSV!$A:$A,CSV!AF:AF,""),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_xlfn.TEXTJOIN("",TRUE,Input!$B$2,ROW(My_Audit!A45)+3934)</f>
        <v>X3979</v>
      </c>
      <c r="B46" s="2" t="str">
        <f>_xlfn.TEXTJOIN("-",TRUE,"ITD",Input!$A$2,A46)</f>
        <v>ITD-SHR-X3979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 t="str">
        <f>_xlfn.XLOOKUP(A46,My_Audit!A:A,My_Audit!D:D,"")</f>
        <v/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CSV!AD:AD,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_xlpm.CSVVal,_xlfn.XLOOKUP($A46,CSV!$A:$A,CSV!AE:AE,""),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_xlpm.CSVVal,_xlfn.XLOOKUP($A46,CSV!$A:$A,CSV!AF:AF,""),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_xlfn.TEXTJOIN("",TRUE,Input!$B$2,ROW(My_Audit!A46)+3934)</f>
        <v>X3980</v>
      </c>
      <c r="B47" s="2" t="str">
        <f>_xlfn.TEXTJOIN("-",TRUE,"ITD",Input!$A$2,A47)</f>
        <v>ITD-SHR-X3980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 t="str">
        <f>_xlfn.XLOOKUP(A47,My_Audit!A:A,My_Audit!D:D,"")</f>
        <v/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CSV!AD:AD,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_xlpm.CSVVal,_xlfn.XLOOKUP($A47,CSV!$A:$A,CSV!AE:AE,""),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_xlpm.CSVVal,_xlfn.XLOOKUP($A47,CSV!$A:$A,CSV!AF:AF,""),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_xlfn.TEXTJOIN("",TRUE,Input!$B$2,ROW(My_Audit!A47)+3934)</f>
        <v>X3981</v>
      </c>
      <c r="B48" s="2" t="str">
        <f>_xlfn.TEXTJOIN("-",TRUE,"ITD",Input!$A$2,A48)</f>
        <v>ITD-SHR-X3981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 t="str">
        <f>_xlfn.XLOOKUP(A48,My_Audit!A:A,My_Audit!D:D,"")</f>
        <v/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CSV!AD:AD,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_xlpm.CSVVal,_xlfn.XLOOKUP($A48,CSV!$A:$A,CSV!AE:AE,""),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_xlpm.CSVVal,_xlfn.XLOOKUP($A48,CSV!$A:$A,CSV!AF:AF,""),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_xlfn.TEXTJOIN("",TRUE,Input!$B$2,ROW(My_Audit!A48)+3934)</f>
        <v>X3982</v>
      </c>
      <c r="B49" s="2" t="str">
        <f>_xlfn.TEXTJOIN("-",TRUE,"ITD",Input!$A$2,A49)</f>
        <v>ITD-SHR-X3982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 t="str">
        <f>_xlfn.XLOOKUP(A49,My_Audit!A:A,My_Audit!D:D,"")</f>
        <v/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CSV!AD:AD,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_xlpm.CSVVal,_xlfn.XLOOKUP($A49,CSV!$A:$A,CSV!AE:AE,""),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_xlpm.CSVVal,_xlfn.XLOOKUP($A49,CSV!$A:$A,CSV!AF:AF,""),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_xlfn.TEXTJOIN("",TRUE,Input!$B$2,ROW(My_Audit!A49)+3934)</f>
        <v>X3983</v>
      </c>
      <c r="B50" s="2" t="str">
        <f>_xlfn.TEXTJOIN("-",TRUE,"ITD",Input!$A$2,A50)</f>
        <v>ITD-SHR-X3983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 t="str">
        <f>_xlfn.XLOOKUP(A50,My_Audit!A:A,My_Audit!D:D,"")</f>
        <v/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CSV!AD:AD,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_xlpm.CSVVal,_xlfn.XLOOKUP($A50,CSV!$A:$A,CSV!AE:AE,""),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_xlpm.CSVVal,_xlfn.XLOOKUP($A50,CSV!$A:$A,CSV!AF:AF,""),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_xlfn.TEXTJOIN("",TRUE,Input!$B$2,ROW(My_Audit!A50)+3934)</f>
        <v>X3984</v>
      </c>
      <c r="B51" s="2" t="str">
        <f>_xlfn.TEXTJOIN("-",TRUE,"ITD",Input!$A$2,A51)</f>
        <v>ITD-SHR-X3984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CSV!AD:AD,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_xlpm.CSVVal,_xlfn.XLOOKUP($A51,CSV!$A:$A,CSV!AE:AE,""),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_xlpm.CSVVal,_xlfn.XLOOKUP($A51,CSV!$A:$A,CSV!AF:AF,""),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_xlfn.TEXTJOIN("",TRUE,Input!$B$2,ROW(My_Audit!A51)+3934)</f>
        <v>X3985</v>
      </c>
      <c r="B52" s="2" t="str">
        <f>_xlfn.TEXTJOIN("-",TRUE,"ITD",Input!$A$2,A52)</f>
        <v>ITD-SHR-X3985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CSV!AD:AD,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_xlpm.CSVVal,_xlfn.XLOOKUP($A52,CSV!$A:$A,CSV!AE:AE,""),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_xlpm.CSVVal,_xlfn.XLOOKUP($A52,CSV!$A:$A,CSV!AF:AF,""),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_xlfn.TEXTJOIN("",TRUE,Input!$B$2,ROW(My_Audit!A52)+3934)</f>
        <v>X3986</v>
      </c>
      <c r="B53" s="2" t="str">
        <f>_xlfn.TEXTJOIN("-",TRUE,"ITD",Input!$A$2,A53)</f>
        <v>ITD-SHR-X3986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CSV!AD:AD,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_xlpm.CSVVal,_xlfn.XLOOKUP($A53,CSV!$A:$A,CSV!AE:AE,""),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_xlpm.CSVVal,_xlfn.XLOOKUP($A53,CSV!$A:$A,CSV!AF:AF,""),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_xlfn.TEXTJOIN("",TRUE,Input!$B$2,ROW(My_Audit!A53)+3934)</f>
        <v>X3987</v>
      </c>
      <c r="B54" s="2" t="str">
        <f>_xlfn.TEXTJOIN("-",TRUE,"ITD",Input!$A$2,A54)</f>
        <v>ITD-SHR-X3987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CSV!AD:AD,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_xlpm.CSVVal,_xlfn.XLOOKUP($A54,CSV!$A:$A,CSV!AE:AE,""),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_xlpm.CSVVal,_xlfn.XLOOKUP($A54,CSV!$A:$A,CSV!AF:AF,""),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_xlfn.TEXTJOIN("",TRUE,Input!$B$2,ROW(My_Audit!A54)+3934)</f>
        <v>X3988</v>
      </c>
      <c r="B55" s="2" t="str">
        <f>_xlfn.TEXTJOIN("-",TRUE,"ITD",Input!$A$2,A55)</f>
        <v>ITD-SHR-X3988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CSV!AD:AD,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_xlpm.CSVVal,_xlfn.XLOOKUP($A55,CSV!$A:$A,CSV!AE:AE,""),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_xlpm.CSVVal,_xlfn.XLOOKUP($A55,CSV!$A:$A,CSV!AF:AF,""),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_xlfn.TEXTJOIN("",TRUE,Input!$B$2,ROW(My_Audit!A55)+3934)</f>
        <v>X3989</v>
      </c>
      <c r="B56" s="2" t="str">
        <f>_xlfn.TEXTJOIN("-",TRUE,"ITD",Input!$A$2,A56)</f>
        <v>ITD-SHR-X3989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CSV!AD:AD,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_xlpm.CSVVal,_xlfn.XLOOKUP($A56,CSV!$A:$A,CSV!AE:AE,""),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_xlpm.CSVVal,_xlfn.XLOOKUP($A56,CSV!$A:$A,CSV!AF:AF,""),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_xlfn.TEXTJOIN("",TRUE,Input!$B$2,ROW(My_Audit!A56)+3934)</f>
        <v>X3990</v>
      </c>
      <c r="B57" s="2" t="str">
        <f>_xlfn.TEXTJOIN("-",TRUE,"ITD",Input!$A$2,A57)</f>
        <v>ITD-SHR-X3990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CSV!AD:AD,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_xlpm.CSVVal,_xlfn.XLOOKUP($A57,CSV!$A:$A,CSV!AE:AE,""),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_xlpm.CSVVal,_xlfn.XLOOKUP($A57,CSV!$A:$A,CSV!AF:AF,""),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_xlfn.TEXTJOIN("",TRUE,Input!$B$2,ROW(My_Audit!A57)+3934)</f>
        <v>X3991</v>
      </c>
      <c r="B58" s="2" t="str">
        <f>_xlfn.TEXTJOIN("-",TRUE,"ITD",Input!$A$2,A58)</f>
        <v>ITD-SHR-X3991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CSV!AD:AD,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_xlpm.CSVVal,_xlfn.XLOOKUP($A58,CSV!$A:$A,CSV!AE:AE,""),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_xlpm.CSVVal,_xlfn.XLOOKUP($A58,CSV!$A:$A,CSV!AF:AF,""),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_xlfn.TEXTJOIN("",TRUE,Input!$B$2,ROW(My_Audit!A58)+3934)</f>
        <v>X3992</v>
      </c>
      <c r="B59" s="2" t="str">
        <f>_xlfn.TEXTJOIN("-",TRUE,"ITD",Input!$A$2,A59)</f>
        <v>ITD-SHR-X3992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CSV!AD:AD,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_xlpm.CSVVal,_xlfn.XLOOKUP($A59,CSV!$A:$A,CSV!AE:AE,""),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_xlpm.CSVVal,_xlfn.XLOOKUP($A59,CSV!$A:$A,CSV!AF:AF,""),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_xlfn.TEXTJOIN("",TRUE,Input!$B$2,ROW(My_Audit!A59)+3934)</f>
        <v>X3993</v>
      </c>
      <c r="B60" s="2" t="str">
        <f>_xlfn.TEXTJOIN("-",TRUE,"ITD",Input!$A$2,A60)</f>
        <v>ITD-SHR-X3993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CSV!AD:AD,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_xlpm.CSVVal,_xlfn.XLOOKUP($A60,CSV!$A:$A,CSV!AE:AE,""),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_xlpm.CSVVal,_xlfn.XLOOKUP($A60,CSV!$A:$A,CSV!AF:AF,""),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_xlfn.TEXTJOIN("",TRUE,Input!$B$2,ROW(My_Audit!A60)+3934)</f>
        <v>X3994</v>
      </c>
      <c r="B61" s="2" t="str">
        <f>_xlfn.TEXTJOIN("-",TRUE,"ITD",Input!$A$2,A61)</f>
        <v>ITD-SHR-X3994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CSV!AD:AD,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_xlpm.CSVVal,_xlfn.XLOOKUP($A61,CSV!$A:$A,CSV!AE:AE,""),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_xlpm.CSVVal,_xlfn.XLOOKUP($A61,CSV!$A:$A,CSV!AF:AF,""),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_xlfn.TEXTJOIN("",TRUE,Input!$B$2,ROW(My_Audit!A61)+3934)</f>
        <v>X3995</v>
      </c>
      <c r="B62" s="2" t="str">
        <f>_xlfn.TEXTJOIN("-",TRUE,"ITD",Input!$A$2,A62)</f>
        <v>ITD-SHR-X3995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CSV!AD:AD,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_xlpm.CSVVal,_xlfn.XLOOKUP($A62,CSV!$A:$A,CSV!AE:AE,""),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_xlpm.CSVVal,_xlfn.XLOOKUP($A62,CSV!$A:$A,CSV!AF:AF,""),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_xlfn.TEXTJOIN("",TRUE,Input!$B$2,ROW(My_Audit!A62)+3934)</f>
        <v>X3996</v>
      </c>
      <c r="B63" s="2" t="str">
        <f>_xlfn.TEXTJOIN("-",TRUE,"ITD",Input!$A$2,A63)</f>
        <v>ITD-SHR-X3996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CSV!AD:AD,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_xlpm.CSVVal,_xlfn.XLOOKUP($A63,CSV!$A:$A,CSV!AE:AE,""),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_xlpm.CSVVal,_xlfn.XLOOKUP($A63,CSV!$A:$A,CSV!AF:AF,""),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_xlfn.TEXTJOIN("",TRUE,Input!$B$2,ROW(My_Audit!A63)+3934)</f>
        <v>X3997</v>
      </c>
      <c r="B64" s="2" t="str">
        <f>_xlfn.TEXTJOIN("-",TRUE,"ITD",Input!$A$2,A64)</f>
        <v>ITD-SHR-X3997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CSV!AD:AD,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_xlpm.CSVVal,_xlfn.XLOOKUP($A64,CSV!$A:$A,CSV!AE:AE,""),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_xlpm.CSVVal,_xlfn.XLOOKUP($A64,CSV!$A:$A,CSV!AF:AF,""),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_xlfn.TEXTJOIN("",TRUE,Input!$B$2,ROW(My_Audit!A64)+3934)</f>
        <v>X3998</v>
      </c>
      <c r="B65" s="2" t="str">
        <f>_xlfn.TEXTJOIN("-",TRUE,"ITD",Input!$A$2,A65)</f>
        <v>ITD-SHR-X3998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CSV!AD:AD,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_xlpm.CSVVal,_xlfn.XLOOKUP($A65,CSV!$A:$A,CSV!AE:AE,""),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_xlpm.CSVVal,_xlfn.XLOOKUP($A65,CSV!$A:$A,CSV!AF:AF,""),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_xlfn.TEXTJOIN("",TRUE,Input!$B$2,ROW(My_Audit!A65)+3934)</f>
        <v>X3999</v>
      </c>
      <c r="B66" s="2" t="str">
        <f>_xlfn.TEXTJOIN("-",TRUE,"ITD",Input!$A$2,A66)</f>
        <v>ITD-SHR-X3999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CSV!AD:AD,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_xlpm.CSVVal,_xlfn.XLOOKUP($A66,CSV!$A:$A,CSV!AE:AE,""),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_xlpm.CSVVal,_xlfn.XLOOKUP($A66,CSV!$A:$A,CSV!AF:AF,""),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_xlfn.TEXTJOIN("",TRUE,Input!$B$2,ROW(My_Audit!A66)+3934)</f>
        <v>X4000</v>
      </c>
      <c r="B67" s="2" t="str">
        <f>_xlfn.TEXTJOIN("-",TRUE,"ITD",Input!$A$2,A67)</f>
        <v>ITD-SHR-X4000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CSV!AD:AD,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_xlpm.CSVVal,_xlfn.XLOOKUP($A67,CSV!$A:$A,CSV!AE:AE,""),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_xlpm.CSVVal,_xlfn.XLOOKUP($A67,CSV!$A:$A,CSV!AF:AF,""),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_xlfn.TEXTJOIN("",TRUE,Input!$B$2,ROW(My_Audit!A67)+3934)</f>
        <v>X4001</v>
      </c>
      <c r="B68" s="2" t="str">
        <f>_xlfn.TEXTJOIN("-",TRUE,"ITD",Input!$A$2,A68)</f>
        <v>ITD-SHR-X4001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CSV!AD:AD,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_xlpm.CSVVal,_xlfn.XLOOKUP($A68,CSV!$A:$A,CSV!AE:AE,""),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_xlpm.CSVVal,_xlfn.XLOOKUP($A68,CSV!$A:$A,CSV!AF:AF,""),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_xlfn.TEXTJOIN("",TRUE,Input!$B$2,ROW(My_Audit!A68)+3934)</f>
        <v>X4002</v>
      </c>
      <c r="B69" s="2" t="str">
        <f>_xlfn.TEXTJOIN("-",TRUE,"ITD",Input!$A$2,A69)</f>
        <v>ITD-SHR-X4002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CSV!AD:AD,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_xlpm.CSVVal,_xlfn.XLOOKUP($A69,CSV!$A:$A,CSV!AE:AE,""),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_xlpm.CSVVal,_xlfn.XLOOKUP($A69,CSV!$A:$A,CSV!AF:AF,""),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_xlfn.TEXTJOIN("",TRUE,Input!$B$2,ROW(My_Audit!A69)+3934)</f>
        <v>X4003</v>
      </c>
      <c r="B70" s="2" t="str">
        <f>_xlfn.TEXTJOIN("-",TRUE,"ITD",Input!$A$2,A70)</f>
        <v>ITD-SHR-X4003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CSV!AD:AD,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_xlpm.CSVVal,_xlfn.XLOOKUP($A70,CSV!$A:$A,CSV!AE:AE,""),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_xlpm.CSVVal,_xlfn.XLOOKUP($A70,CSV!$A:$A,CSV!AF:AF,""),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_xlfn.TEXTJOIN("",TRUE,Input!$B$2,ROW(My_Audit!A70)+3934)</f>
        <v>X4004</v>
      </c>
      <c r="B71" s="2" t="str">
        <f>_xlfn.TEXTJOIN("-",TRUE,"ITD",Input!$A$2,A71)</f>
        <v>ITD-SHR-X4004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CSV!AD:AD,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_xlpm.CSVVal,_xlfn.XLOOKUP($A71,CSV!$A:$A,CSV!AE:AE,""),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_xlpm.CSVVal,_xlfn.XLOOKUP($A71,CSV!$A:$A,CSV!AF:AF,""),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_xlfn.TEXTJOIN("",TRUE,Input!$B$2,ROW(My_Audit!A71)+3934)</f>
        <v>X4005</v>
      </c>
      <c r="B72" s="2" t="str">
        <f>_xlfn.TEXTJOIN("-",TRUE,"ITD",Input!$A$2,A72)</f>
        <v>ITD-SHR-X4005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CSV!AD:AD,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_xlpm.CSVVal,_xlfn.XLOOKUP($A72,CSV!$A:$A,CSV!AE:AE,""),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_xlpm.CSVVal,_xlfn.XLOOKUP($A72,CSV!$A:$A,CSV!AF:AF,""),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_xlfn.TEXTJOIN("",TRUE,Input!$B$2,ROW(My_Audit!A72)+3934)</f>
        <v>X4006</v>
      </c>
      <c r="B73" s="2" t="str">
        <f>_xlfn.TEXTJOIN("-",TRUE,"ITD",Input!$A$2,A73)</f>
        <v>ITD-SHR-X4006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CSV!AD:AD,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_xlpm.CSVVal,_xlfn.XLOOKUP($A73,CSV!$A:$A,CSV!AE:AE,""),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_xlpm.CSVVal,_xlfn.XLOOKUP($A73,CSV!$A:$A,CSV!AF:AF,""),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_xlfn.TEXTJOIN("",TRUE,Input!$B$2,ROW(My_Audit!A73)+3934)</f>
        <v>X4007</v>
      </c>
      <c r="B74" s="2" t="str">
        <f>_xlfn.TEXTJOIN("-",TRUE,"ITD",Input!$A$2,A74)</f>
        <v>ITD-SHR-X4007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CSV!AD:AD,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_xlpm.CSVVal,_xlfn.XLOOKUP($A74,CSV!$A:$A,CSV!AE:AE,""),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_xlpm.CSVVal,_xlfn.XLOOKUP($A74,CSV!$A:$A,CSV!AF:AF,""),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_xlfn.TEXTJOIN("",TRUE,Input!$B$2,ROW(My_Audit!A74)+3934)</f>
        <v>X4008</v>
      </c>
      <c r="B75" s="2" t="str">
        <f>_xlfn.TEXTJOIN("-",TRUE,"ITD",Input!$A$2,A75)</f>
        <v>ITD-SHR-X4008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CSV!AD:AD,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_xlpm.CSVVal,_xlfn.XLOOKUP($A75,CSV!$A:$A,CSV!AE:AE,""),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_xlpm.CSVVal,_xlfn.XLOOKUP($A75,CSV!$A:$A,CSV!AF:AF,""),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_xlfn.TEXTJOIN("",TRUE,Input!$B$2,ROW(My_Audit!A75)+3934)</f>
        <v>X4009</v>
      </c>
      <c r="B76" s="2" t="str">
        <f>_xlfn.TEXTJOIN("-",TRUE,"ITD",Input!$A$2,A76)</f>
        <v>ITD-SHR-X4009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CSV!AD:AD,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_xlpm.CSVVal,_xlfn.XLOOKUP($A76,CSV!$A:$A,CSV!AE:AE,""),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_xlpm.CSVVal,_xlfn.XLOOKUP($A76,CSV!$A:$A,CSV!AF:AF,""),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_xlfn.TEXTJOIN("",TRUE,Input!$B$2,ROW(My_Audit!A76)+3934)</f>
        <v>X4010</v>
      </c>
      <c r="B77" s="2" t="str">
        <f>_xlfn.TEXTJOIN("-",TRUE,"ITD",Input!$A$2,A77)</f>
        <v>ITD-SHR-X4010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CSV!AD:AD,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_xlpm.CSVVal,_xlfn.XLOOKUP($A77,CSV!$A:$A,CSV!AE:AE,""),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_xlpm.CSVVal,_xlfn.XLOOKUP($A77,CSV!$A:$A,CSV!AF:AF,""),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_xlfn.TEXTJOIN("",TRUE,Input!$B$2,ROW(My_Audit!A77)+3934)</f>
        <v>X4011</v>
      </c>
      <c r="B78" s="2" t="str">
        <f>_xlfn.TEXTJOIN("-",TRUE,"ITD",Input!$A$2,A78)</f>
        <v>ITD-SHR-X4011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CSV!AD:AD,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_xlpm.CSVVal,_xlfn.XLOOKUP($A78,CSV!$A:$A,CSV!AE:AE,""),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_xlpm.CSVVal,_xlfn.XLOOKUP($A78,CSV!$A:$A,CSV!AF:AF,""),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_xlfn.TEXTJOIN("",TRUE,Input!$B$2,ROW(My_Audit!A78)+3934)</f>
        <v>X4012</v>
      </c>
      <c r="B79" s="2" t="str">
        <f>_xlfn.TEXTJOIN("-",TRUE,"ITD",Input!$A$2,A79)</f>
        <v>ITD-SHR-X4012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CSV!AD:AD,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_xlpm.CSVVal,_xlfn.XLOOKUP($A79,CSV!$A:$A,CSV!AE:AE,""),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_xlpm.CSVVal,_xlfn.XLOOKUP($A79,CSV!$A:$A,CSV!AF:AF,""),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_xlfn.TEXTJOIN("",TRUE,Input!$B$2,ROW(My_Audit!A79)+3934)</f>
        <v>X4013</v>
      </c>
      <c r="B80" s="2" t="str">
        <f>_xlfn.TEXTJOIN("-",TRUE,"ITD",Input!$A$2,A80)</f>
        <v>ITD-SHR-X4013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CSV!AD:AD,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_xlpm.CSVVal,_xlfn.XLOOKUP($A80,CSV!$A:$A,CSV!AE:AE,""),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_xlpm.CSVVal,_xlfn.XLOOKUP($A80,CSV!$A:$A,CSV!AF:AF,""),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_xlfn.TEXTJOIN("",TRUE,Input!$B$2,ROW(My_Audit!A80)+3934)</f>
        <v>X4014</v>
      </c>
      <c r="B81" s="2" t="str">
        <f>_xlfn.TEXTJOIN("-",TRUE,"ITD",Input!$A$2,A81)</f>
        <v>ITD-SHR-X4014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CSV!AD:AD,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_xlpm.CSVVal,_xlfn.XLOOKUP($A81,CSV!$A:$A,CSV!AE:AE,""),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_xlpm.CSVVal,_xlfn.XLOOKUP($A81,CSV!$A:$A,CSV!AF:AF,""),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_xlfn.TEXTJOIN("",TRUE,Input!$B$2,ROW(My_Audit!A81)+3934)</f>
        <v>X4015</v>
      </c>
      <c r="B82" s="2" t="str">
        <f>_xlfn.TEXTJOIN("-",TRUE,"ITD",Input!$A$2,A82)</f>
        <v>ITD-SHR-X4015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CSV!AD:AD,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_xlpm.CSVVal,_xlfn.XLOOKUP($A82,CSV!$A:$A,CSV!AE:AE,""),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_xlpm.CSVVal,_xlfn.XLOOKUP($A82,CSV!$A:$A,CSV!AF:AF,""),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_xlfn.TEXTJOIN("",TRUE,Input!$B$2,ROW(My_Audit!A82)+3934)</f>
        <v>X4016</v>
      </c>
      <c r="B83" s="2" t="str">
        <f>_xlfn.TEXTJOIN("-",TRUE,"ITD",Input!$A$2,A83)</f>
        <v>ITD-SHR-X4016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CSV!AD:AD,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_xlpm.CSVVal,_xlfn.XLOOKUP($A83,CSV!$A:$A,CSV!AE:AE,""),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_xlpm.CSVVal,_xlfn.XLOOKUP($A83,CSV!$A:$A,CSV!AF:AF,""),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_xlfn.TEXTJOIN("",TRUE,Input!$B$2,ROW(My_Audit!A83)+3934)</f>
        <v>X4017</v>
      </c>
      <c r="B84" s="2" t="str">
        <f>_xlfn.TEXTJOIN("-",TRUE,"ITD",Input!$A$2,A84)</f>
        <v>ITD-SHR-X4017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CSV!AD:AD,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_xlpm.CSVVal,_xlfn.XLOOKUP($A84,CSV!$A:$A,CSV!AE:AE,""),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_xlpm.CSVVal,_xlfn.XLOOKUP($A84,CSV!$A:$A,CSV!AF:AF,""),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_xlfn.TEXTJOIN("",TRUE,Input!$B$2,ROW(My_Audit!A84)+3934)</f>
        <v>X4018</v>
      </c>
      <c r="B85" s="2" t="str">
        <f>_xlfn.TEXTJOIN("-",TRUE,"ITD",Input!$A$2,A85)</f>
        <v>ITD-SHR-X4018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CSV!AD:AD,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_xlpm.CSVVal,_xlfn.XLOOKUP($A85,CSV!$A:$A,CSV!AE:AE,""),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_xlpm.CSVVal,_xlfn.XLOOKUP($A85,CSV!$A:$A,CSV!AF:AF,""),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_xlfn.TEXTJOIN("",TRUE,Input!$B$2,ROW(My_Audit!A85)+3934)</f>
        <v>X4019</v>
      </c>
      <c r="B86" s="2" t="str">
        <f>_xlfn.TEXTJOIN("-",TRUE,"ITD",Input!$A$2,A86)</f>
        <v>ITD-SHR-X4019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CSV!AD:AD,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_xlpm.CSVVal,_xlfn.XLOOKUP($A86,CSV!$A:$A,CSV!AE:AE,""),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_xlpm.CSVVal,_xlfn.XLOOKUP($A86,CSV!$A:$A,CSV!AF:AF,""),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_xlfn.TEXTJOIN("",TRUE,Input!$B$2,ROW(My_Audit!A86)+3934)</f>
        <v>X4020</v>
      </c>
      <c r="B87" s="2" t="str">
        <f>_xlfn.TEXTJOIN("-",TRUE,"ITD",Input!$A$2,A87)</f>
        <v>ITD-SHR-X4020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CSV!AD:AD,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_xlpm.CSVVal,_xlfn.XLOOKUP($A87,CSV!$A:$A,CSV!AE:AE,""),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_xlpm.CSVVal,_xlfn.XLOOKUP($A87,CSV!$A:$A,CSV!AF:AF,""),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_xlfn.TEXTJOIN("",TRUE,Input!$B$2,ROW(My_Audit!A87)+3934)</f>
        <v>X4021</v>
      </c>
      <c r="B88" s="2" t="str">
        <f>_xlfn.TEXTJOIN("-",TRUE,"ITD",Input!$A$2,A88)</f>
        <v>ITD-SHR-X4021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CSV!AD:AD,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_xlpm.CSVVal,_xlfn.XLOOKUP($A88,CSV!$A:$A,CSV!AE:AE,""),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_xlpm.CSVVal,_xlfn.XLOOKUP($A88,CSV!$A:$A,CSV!AF:AF,""),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_xlfn.TEXTJOIN("",TRUE,Input!$B$2,ROW(My_Audit!A88)+3934)</f>
        <v>X4022</v>
      </c>
      <c r="B89" s="2" t="str">
        <f>_xlfn.TEXTJOIN("-",TRUE,"ITD",Input!$A$2,A89)</f>
        <v>ITD-SHR-X4022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CSV!AD:AD,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_xlpm.CSVVal,_xlfn.XLOOKUP($A89,CSV!$A:$A,CSV!AE:AE,""),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_xlpm.CSVVal,_xlfn.XLOOKUP($A89,CSV!$A:$A,CSV!AF:AF,""),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_xlfn.TEXTJOIN("",TRUE,Input!$B$2,ROW(My_Audit!A89)+3934)</f>
        <v>X4023</v>
      </c>
      <c r="B90" s="2" t="str">
        <f>_xlfn.TEXTJOIN("-",TRUE,"ITD",Input!$A$2,A90)</f>
        <v>ITD-SHR-X4023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CSV!AD:AD,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_xlpm.CSVVal,_xlfn.XLOOKUP($A90,CSV!$A:$A,CSV!AE:AE,""),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_xlpm.CSVVal,_xlfn.XLOOKUP($A90,CSV!$A:$A,CSV!AF:AF,""),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_xlfn.TEXTJOIN("",TRUE,Input!$B$2,ROW(My_Audit!A90)+3934)</f>
        <v>X4024</v>
      </c>
      <c r="B91" s="2" t="str">
        <f>_xlfn.TEXTJOIN("-",TRUE,"ITD",Input!$A$2,A91)</f>
        <v>ITD-SHR-X4024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CSV!AD:AD,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_xlpm.CSVVal,_xlfn.XLOOKUP($A91,CSV!$A:$A,CSV!AE:AE,""),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_xlpm.CSVVal,_xlfn.XLOOKUP($A91,CSV!$A:$A,CSV!AF:AF,""),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_xlfn.TEXTJOIN("",TRUE,Input!$B$2,ROW(My_Audit!A91)+3934)</f>
        <v>X4025</v>
      </c>
      <c r="B92" s="2" t="str">
        <f>_xlfn.TEXTJOIN("-",TRUE,"ITD",Input!$A$2,A92)</f>
        <v>ITD-SHR-X4025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CSV!AD:AD,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_xlpm.CSVVal,_xlfn.XLOOKUP($A92,CSV!$A:$A,CSV!AE:AE,""),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_xlpm.CSVVal,_xlfn.XLOOKUP($A92,CSV!$A:$A,CSV!AF:AF,""),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_xlfn.TEXTJOIN("",TRUE,Input!$B$2,ROW(My_Audit!A92)+3934)</f>
        <v>X4026</v>
      </c>
      <c r="B93" s="2" t="str">
        <f>_xlfn.TEXTJOIN("-",TRUE,"ITD",Input!$A$2,A93)</f>
        <v>ITD-SHR-X4026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CSV!AD:AD,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_xlpm.CSVVal,_xlfn.XLOOKUP($A93,CSV!$A:$A,CSV!AE:AE,""),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_xlpm.CSVVal,_xlfn.XLOOKUP($A93,CSV!$A:$A,CSV!AF:AF,""),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_xlfn.TEXTJOIN("",TRUE,Input!$B$2,ROW(My_Audit!A93)+3934)</f>
        <v>X4027</v>
      </c>
      <c r="B94" s="2" t="str">
        <f>_xlfn.TEXTJOIN("-",TRUE,"ITD",Input!$A$2,A94)</f>
        <v>ITD-SHR-X4027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CSV!AD:AD,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_xlpm.CSVVal,_xlfn.XLOOKUP($A94,CSV!$A:$A,CSV!AE:AE,""),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_xlpm.CSVVal,_xlfn.XLOOKUP($A94,CSV!$A:$A,CSV!AF:AF,""),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_xlfn.TEXTJOIN("",TRUE,Input!$B$2,ROW(My_Audit!A94)+3934)</f>
        <v>X4028</v>
      </c>
      <c r="B95" s="2" t="str">
        <f>_xlfn.TEXTJOIN("-",TRUE,"ITD",Input!$A$2,A95)</f>
        <v>ITD-SHR-X4028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CSV!AD:AD,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_xlpm.CSVVal,_xlfn.XLOOKUP($A95,CSV!$A:$A,CSV!AE:AE,""),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_xlpm.CSVVal,_xlfn.XLOOKUP($A95,CSV!$A:$A,CSV!AF:AF,""),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_xlfn.TEXTJOIN("",TRUE,Input!$B$2,ROW(My_Audit!A95)+3934)</f>
        <v>X4029</v>
      </c>
      <c r="B96" s="2" t="str">
        <f>_xlfn.TEXTJOIN("-",TRUE,"ITD",Input!$A$2,A96)</f>
        <v>ITD-SHR-X4029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CSV!AD:AD,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_xlpm.CSVVal,_xlfn.XLOOKUP($A96,CSV!$A:$A,CSV!AE:AE,""),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_xlpm.CSVVal,_xlfn.XLOOKUP($A96,CSV!$A:$A,CSV!AF:AF,""),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_xlfn.TEXTJOIN("",TRUE,Input!$B$2,ROW(My_Audit!A96)+3934)</f>
        <v>X4030</v>
      </c>
      <c r="B97" s="2" t="str">
        <f>_xlfn.TEXTJOIN("-",TRUE,"ITD",Input!$A$2,A97)</f>
        <v>ITD-SHR-X4030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CSV!AD:AD,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_xlpm.CSVVal,_xlfn.XLOOKUP($A97,CSV!$A:$A,CSV!AE:AE,""),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_xlpm.CSVVal,_xlfn.XLOOKUP($A97,CSV!$A:$A,CSV!AF:AF,""),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_xlfn.TEXTJOIN("",TRUE,Input!$B$2,ROW(My_Audit!A97)+3934)</f>
        <v>X4031</v>
      </c>
      <c r="B98" s="2" t="str">
        <f>_xlfn.TEXTJOIN("-",TRUE,"ITD",Input!$A$2,A98)</f>
        <v>ITD-SHR-X4031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CSV!AD:AD,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_xlpm.CSVVal,_xlfn.XLOOKUP($A98,CSV!$A:$A,CSV!AE:AE,""),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_xlpm.CSVVal,_xlfn.XLOOKUP($A98,CSV!$A:$A,CSV!AF:AF,""),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_xlfn.TEXTJOIN("",TRUE,Input!$B$2,ROW(My_Audit!A98)+3934)</f>
        <v>X4032</v>
      </c>
      <c r="B99" s="2" t="str">
        <f>_xlfn.TEXTJOIN("-",TRUE,"ITD",Input!$A$2,A99)</f>
        <v>ITD-SHR-X4032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CSV!AD:AD,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_xlpm.CSVVal,_xlfn.XLOOKUP($A99,CSV!$A:$A,CSV!AE:AE,""),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_xlpm.CSVVal,_xlfn.XLOOKUP($A99,CSV!$A:$A,CSV!AF:AF,""),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_xlfn.TEXTJOIN("",TRUE,Input!$B$2,ROW(My_Audit!A99)+3934)</f>
        <v>X4033</v>
      </c>
      <c r="B100" s="2" t="str">
        <f>_xlfn.TEXTJOIN("-",TRUE,"ITD",Input!$A$2,A100)</f>
        <v>ITD-SHR-X4033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CSV!AD:AD,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_xlpm.CSVVal,_xlfn.XLOOKUP($A100,CSV!$A:$A,CSV!AE:AE,""),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_xlpm.CSVVal,_xlfn.XLOOKUP($A100,CSV!$A:$A,CSV!AF:AF,""),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_xlfn.TEXTJOIN("",TRUE,Input!$B$2,ROW(My_Audit!A100)+3934)</f>
        <v>X4034</v>
      </c>
      <c r="B101" s="2" t="str">
        <f>_xlfn.TEXTJOIN("-",TRUE,"ITD",Input!$A$2,A101)</f>
        <v>ITD-SHR-X4034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CSV!AD:AD,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_xlpm.CSVVal,_xlfn.XLOOKUP($A101,CSV!$A:$A,CSV!AE:AE,""),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_xlpm.CSVVal,_xlfn.XLOOKUP($A101,CSV!$A:$A,CSV!AF:AF,""),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_xlfn.TEXTJOIN("",TRUE,Input!$B$2,ROW(My_Audit!A101)+3934)</f>
        <v>X4035</v>
      </c>
      <c r="B102" s="2" t="str">
        <f>_xlfn.TEXTJOIN("-",TRUE,"ITD",Input!$A$2,A102)</f>
        <v>ITD-SHR-X4035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CSV!AD:AD,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_xlpm.CSVVal,_xlfn.XLOOKUP($A102,CSV!$A:$A,CSV!AE:AE,""),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_xlpm.CSVVal,_xlfn.XLOOKUP($A102,CSV!$A:$A,CSV!AF:AF,""),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_xlfn.TEXTJOIN("",TRUE,Input!$B$2,ROW(My_Audit!A102)+3934)</f>
        <v>X4036</v>
      </c>
      <c r="B103" s="2" t="str">
        <f>_xlfn.TEXTJOIN("-",TRUE,"ITD",Input!$A$2,A103)</f>
        <v>ITD-SHR-X4036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CSV!AD:AD,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_xlpm.CSVVal,_xlfn.XLOOKUP($A103,CSV!$A:$A,CSV!AE:AE,""),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_xlpm.CSVVal,_xlfn.XLOOKUP($A103,CSV!$A:$A,CSV!AF:AF,""),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_xlfn.TEXTJOIN("",TRUE,Input!$B$2,ROW(My_Audit!A103)+3934)</f>
        <v>X4037</v>
      </c>
      <c r="B104" s="2" t="str">
        <f>_xlfn.TEXTJOIN("-",TRUE,"ITD",Input!$A$2,A104)</f>
        <v>ITD-SHR-X4037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CSV!AD:AD,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_xlpm.CSVVal,_xlfn.XLOOKUP($A104,CSV!$A:$A,CSV!AE:AE,""),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_xlpm.CSVVal,_xlfn.XLOOKUP($A104,CSV!$A:$A,CSV!AF:AF,""),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_xlfn.TEXTJOIN("",TRUE,Input!$B$2,ROW(My_Audit!A104)+3934)</f>
        <v>X4038</v>
      </c>
      <c r="B105" s="2" t="str">
        <f>_xlfn.TEXTJOIN("-",TRUE,"ITD",Input!$A$2,A105)</f>
        <v>ITD-SHR-X4038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CSV!AD:AD,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_xlpm.CSVVal,_xlfn.XLOOKUP($A105,CSV!$A:$A,CSV!AE:AE,""),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_xlpm.CSVVal,_xlfn.XLOOKUP($A105,CSV!$A:$A,CSV!AF:AF,""),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_xlfn.TEXTJOIN("",TRUE,Input!$B$2,ROW(My_Audit!A105)+3934)</f>
        <v>X4039</v>
      </c>
      <c r="B106" s="2" t="str">
        <f>_xlfn.TEXTJOIN("-",TRUE,"ITD",Input!$A$2,A106)</f>
        <v>ITD-SHR-X4039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CSV!AD:AD,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_xlpm.CSVVal,_xlfn.XLOOKUP($A106,CSV!$A:$A,CSV!AE:AE,""),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_xlpm.CSVVal,_xlfn.XLOOKUP($A106,CSV!$A:$A,CSV!AF:AF,""),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_xlfn.TEXTJOIN("",TRUE,Input!$B$2,ROW(My_Audit!A106)+3934)</f>
        <v>X4040</v>
      </c>
      <c r="B107" s="2" t="str">
        <f>_xlfn.TEXTJOIN("-",TRUE,"ITD",Input!$A$2,A107)</f>
        <v>ITD-SHR-X4040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CSV!AD:AD,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_xlpm.CSVVal,_xlfn.XLOOKUP($A107,CSV!$A:$A,CSV!AE:AE,""),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_xlpm.CSVVal,_xlfn.XLOOKUP($A107,CSV!$A:$A,CSV!AF:AF,""),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_xlfn.TEXTJOIN("",TRUE,Input!$B$2,ROW(My_Audit!A107)+3934)</f>
        <v>X4041</v>
      </c>
      <c r="B108" s="2" t="str">
        <f>_xlfn.TEXTJOIN("-",TRUE,"ITD",Input!$A$2,A108)</f>
        <v>ITD-SHR-X4041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CSV!AD:AD,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_xlpm.CSVVal,_xlfn.XLOOKUP($A108,CSV!$A:$A,CSV!AE:AE,""),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_xlpm.CSVVal,_xlfn.XLOOKUP($A108,CSV!$A:$A,CSV!AF:AF,""),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_xlfn.TEXTJOIN("",TRUE,Input!$B$2,ROW(My_Audit!A108)+3934)</f>
        <v>X4042</v>
      </c>
      <c r="B109" s="2" t="str">
        <f>_xlfn.TEXTJOIN("-",TRUE,"ITD",Input!$A$2,A109)</f>
        <v>ITD-SHR-X4042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CSV!AD:AD,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_xlpm.CSVVal,_xlfn.XLOOKUP($A109,CSV!$A:$A,CSV!AE:AE,""),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_xlpm.CSVVal,_xlfn.XLOOKUP($A109,CSV!$A:$A,CSV!AF:AF,""),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_xlfn.TEXTJOIN("",TRUE,Input!$B$2,ROW(My_Audit!A109)+3934)</f>
        <v>X4043</v>
      </c>
      <c r="B110" s="2" t="str">
        <f>_xlfn.TEXTJOIN("-",TRUE,"ITD",Input!$A$2,A110)</f>
        <v>ITD-SHR-X4043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CSV!AD:AD,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_xlpm.CSVVal,_xlfn.XLOOKUP($A110,CSV!$A:$A,CSV!AE:AE,""),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_xlpm.CSVVal,_xlfn.XLOOKUP($A110,CSV!$A:$A,CSV!AF:AF,""),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_xlfn.TEXTJOIN("",TRUE,Input!$B$2,ROW(My_Audit!A110)+3934)</f>
        <v>X4044</v>
      </c>
      <c r="B111" s="2" t="str">
        <f>_xlfn.TEXTJOIN("-",TRUE,"ITD",Input!$A$2,A111)</f>
        <v>ITD-SHR-X4044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CSV!AD:AD,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_xlpm.CSVVal,_xlfn.XLOOKUP($A111,CSV!$A:$A,CSV!AE:AE,""),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_xlpm.CSVVal,_xlfn.XLOOKUP($A111,CSV!$A:$A,CSV!AF:AF,""),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_xlfn.TEXTJOIN("",TRUE,Input!$B$2,ROW(My_Audit!A111)+3934)</f>
        <v>X4045</v>
      </c>
      <c r="B112" s="2" t="str">
        <f>_xlfn.TEXTJOIN("-",TRUE,"ITD",Input!$A$2,A112)</f>
        <v>ITD-SHR-X4045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CSV!AD:AD,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_xlpm.CSVVal,_xlfn.XLOOKUP($A112,CSV!$A:$A,CSV!AE:AE,""),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_xlpm.CSVVal,_xlfn.XLOOKUP($A112,CSV!$A:$A,CSV!AF:AF,""),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_xlfn.TEXTJOIN("",TRUE,Input!$B$2,ROW(My_Audit!A112)+3934)</f>
        <v>X4046</v>
      </c>
      <c r="B113" s="2" t="str">
        <f>_xlfn.TEXTJOIN("-",TRUE,"ITD",Input!$A$2,A113)</f>
        <v>ITD-SHR-X4046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CSV!AD:AD,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_xlpm.CSVVal,_xlfn.XLOOKUP($A113,CSV!$A:$A,CSV!AE:AE,""),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_xlpm.CSVVal,_xlfn.XLOOKUP($A113,CSV!$A:$A,CSV!AF:AF,""),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_xlfn.TEXTJOIN("",TRUE,Input!$B$2,ROW(My_Audit!A113)+3934)</f>
        <v>X4047</v>
      </c>
      <c r="B114" s="2" t="str">
        <f>_xlfn.TEXTJOIN("-",TRUE,"ITD",Input!$A$2,A114)</f>
        <v>ITD-SHR-X4047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CSV!AD:AD,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_xlpm.CSVVal,_xlfn.XLOOKUP($A114,CSV!$A:$A,CSV!AE:AE,""),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_xlpm.CSVVal,_xlfn.XLOOKUP($A114,CSV!$A:$A,CSV!AF:AF,""),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_xlfn.TEXTJOIN("",TRUE,Input!$B$2,ROW(My_Audit!A114)+3934)</f>
        <v>X4048</v>
      </c>
      <c r="B115" s="2" t="str">
        <f>_xlfn.TEXTJOIN("-",TRUE,"ITD",Input!$A$2,A115)</f>
        <v>ITD-SHR-X4048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CSV!AD:AD,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_xlpm.CSVVal,_xlfn.XLOOKUP($A115,CSV!$A:$A,CSV!AE:AE,""),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_xlpm.CSVVal,_xlfn.XLOOKUP($A115,CSV!$A:$A,CSV!AF:AF,""),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_xlfn.TEXTJOIN("",TRUE,Input!$B$2,ROW(My_Audit!A115)+3934)</f>
        <v>X4049</v>
      </c>
      <c r="B116" s="2" t="str">
        <f>_xlfn.TEXTJOIN("-",TRUE,"ITD",Input!$A$2,A116)</f>
        <v>ITD-SHR-X4049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CSV!AD:AD,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_xlpm.CSVVal,_xlfn.XLOOKUP($A116,CSV!$A:$A,CSV!AE:AE,""),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_xlpm.CSVVal,_xlfn.XLOOKUP($A116,CSV!$A:$A,CSV!AF:AF,""),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_xlfn.TEXTJOIN("",TRUE,Input!$B$2,ROW(My_Audit!A116)+3934)</f>
        <v>X4050</v>
      </c>
      <c r="B117" s="2" t="str">
        <f>_xlfn.TEXTJOIN("-",TRUE,"ITD",Input!$A$2,A117)</f>
        <v>ITD-SHR-X4050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CSV!AD:AD,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_xlpm.CSVVal,_xlfn.XLOOKUP($A117,CSV!$A:$A,CSV!AE:AE,""),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_xlpm.CSVVal,_xlfn.XLOOKUP($A117,CSV!$A:$A,CSV!AF:AF,""),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_xlfn.TEXTJOIN("",TRUE,Input!$B$2,ROW(My_Audit!A117)+3934)</f>
        <v>X4051</v>
      </c>
      <c r="B118" s="2" t="str">
        <f>_xlfn.TEXTJOIN("-",TRUE,"ITD",Input!$A$2,A118)</f>
        <v>ITD-SHR-X4051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CSV!AD:AD,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_xlpm.CSVVal,_xlfn.XLOOKUP($A118,CSV!$A:$A,CSV!AE:AE,""),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_xlpm.CSVVal,_xlfn.XLOOKUP($A118,CSV!$A:$A,CSV!AF:AF,""),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_xlfn.TEXTJOIN("",TRUE,Input!$B$2,ROW(My_Audit!A118)+3934)</f>
        <v>X4052</v>
      </c>
      <c r="B119" s="2" t="str">
        <f>_xlfn.TEXTJOIN("-",TRUE,"ITD",Input!$A$2,A119)</f>
        <v>ITD-SHR-X4052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CSV!AD:AD,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_xlpm.CSVVal,_xlfn.XLOOKUP($A119,CSV!$A:$A,CSV!AE:AE,""),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_xlpm.CSVVal,_xlfn.XLOOKUP($A119,CSV!$A:$A,CSV!AF:AF,""),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_xlfn.TEXTJOIN("",TRUE,Input!$B$2,ROW(My_Audit!A119)+3934)</f>
        <v>X4053</v>
      </c>
      <c r="B120" s="2" t="str">
        <f>_xlfn.TEXTJOIN("-",TRUE,"ITD",Input!$A$2,A120)</f>
        <v>ITD-SHR-X4053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CSV!AD:AD,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_xlpm.CSVVal,_xlfn.XLOOKUP($A120,CSV!$A:$A,CSV!AE:AE,""),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_xlpm.CSVVal,_xlfn.XLOOKUP($A120,CSV!$A:$A,CSV!AF:AF,""),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_xlfn.TEXTJOIN("",TRUE,Input!$B$2,ROW(My_Audit!A120)+3934)</f>
        <v>X4054</v>
      </c>
      <c r="B121" s="2" t="str">
        <f>_xlfn.TEXTJOIN("-",TRUE,"ITD",Input!$A$2,A121)</f>
        <v>ITD-SHR-X4054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CSV!AD:AD,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_xlpm.CSVVal,_xlfn.XLOOKUP($A121,CSV!$A:$A,CSV!AE:AE,""),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_xlpm.CSVVal,_xlfn.XLOOKUP($A121,CSV!$A:$A,CSV!AF:AF,""),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_xlfn.TEXTJOIN("",TRUE,Input!$B$2,ROW(My_Audit!A121)+3934)</f>
        <v>X4055</v>
      </c>
      <c r="B122" s="2" t="str">
        <f>_xlfn.TEXTJOIN("-",TRUE,"ITD",Input!$A$2,A122)</f>
        <v>ITD-SHR-X4055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CSV!AD:AD,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_xlpm.CSVVal,_xlfn.XLOOKUP($A122,CSV!$A:$A,CSV!AE:AE,""),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_xlpm.CSVVal,_xlfn.XLOOKUP($A122,CSV!$A:$A,CSV!AF:AF,""),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_xlfn.TEXTJOIN("",TRUE,Input!$B$2,ROW(My_Audit!A122)+3934)</f>
        <v>X4056</v>
      </c>
      <c r="B123" s="2" t="str">
        <f>_xlfn.TEXTJOIN("-",TRUE,"ITD",Input!$A$2,A123)</f>
        <v>ITD-SHR-X4056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CSV!AD:AD,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_xlpm.CSVVal,_xlfn.XLOOKUP($A123,CSV!$A:$A,CSV!AE:AE,""),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_xlpm.CSVVal,_xlfn.XLOOKUP($A123,CSV!$A:$A,CSV!AF:AF,""),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_xlfn.TEXTJOIN("",TRUE,Input!$B$2,ROW(My_Audit!A123)+3934)</f>
        <v>X4057</v>
      </c>
      <c r="B124" s="2" t="str">
        <f>_xlfn.TEXTJOIN("-",TRUE,"ITD",Input!$A$2,A124)</f>
        <v>ITD-SHR-X4057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CSV!AD:AD,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_xlpm.CSVVal,_xlfn.XLOOKUP($A124,CSV!$A:$A,CSV!AE:AE,""),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_xlpm.CSVVal,_xlfn.XLOOKUP($A124,CSV!$A:$A,CSV!AF:AF,""),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_xlfn.TEXTJOIN("",TRUE,Input!$B$2,ROW(My_Audit!A124)+3934)</f>
        <v>X4058</v>
      </c>
      <c r="B125" s="2" t="str">
        <f>_xlfn.TEXTJOIN("-",TRUE,"ITD",Input!$A$2,A125)</f>
        <v>ITD-SHR-X4058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CSV!AD:AD,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_xlpm.CSVVal,_xlfn.XLOOKUP($A125,CSV!$A:$A,CSV!AE:AE,""),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_xlpm.CSVVal,_xlfn.XLOOKUP($A125,CSV!$A:$A,CSV!AF:AF,""),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_xlfn.TEXTJOIN("",TRUE,Input!$B$2,ROW(My_Audit!A125)+3934)</f>
        <v>X4059</v>
      </c>
      <c r="B126" s="2" t="str">
        <f>_xlfn.TEXTJOIN("-",TRUE,"ITD",Input!$A$2,A126)</f>
        <v>ITD-SHR-X4059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CSV!AD:AD,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_xlpm.CSVVal,_xlfn.XLOOKUP($A126,CSV!$A:$A,CSV!AE:AE,""),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_xlpm.CSVVal,_xlfn.XLOOKUP($A126,CSV!$A:$A,CSV!AF:AF,""),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_xlfn.TEXTJOIN("",TRUE,Input!$B$2,ROW(My_Audit!A126)+3934)</f>
        <v>X4060</v>
      </c>
      <c r="B127" s="2" t="str">
        <f>_xlfn.TEXTJOIN("-",TRUE,"ITD",Input!$A$2,A127)</f>
        <v>ITD-SHR-X4060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CSV!AD:AD,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_xlpm.CSVVal,_xlfn.XLOOKUP($A127,CSV!$A:$A,CSV!AE:AE,""),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_xlpm.CSVVal,_xlfn.XLOOKUP($A127,CSV!$A:$A,CSV!AF:AF,""),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_xlfn.TEXTJOIN("",TRUE,Input!$B$2,ROW(My_Audit!A127)+3934)</f>
        <v>X4061</v>
      </c>
      <c r="B128" s="2" t="str">
        <f>_xlfn.TEXTJOIN("-",TRUE,"ITD",Input!$A$2,A128)</f>
        <v>ITD-SHR-X4061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CSV!AD:AD,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_xlpm.CSVVal,_xlfn.XLOOKUP($A128,CSV!$A:$A,CSV!AE:AE,""),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_xlpm.CSVVal,_xlfn.XLOOKUP($A128,CSV!$A:$A,CSV!AF:AF,""),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_xlfn.TEXTJOIN("",TRUE,Input!$B$2,ROW(My_Audit!A128)+3934)</f>
        <v>X4062</v>
      </c>
      <c r="B129" s="2" t="str">
        <f>_xlfn.TEXTJOIN("-",TRUE,"ITD",Input!$A$2,A129)</f>
        <v>ITD-SHR-X4062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CSV!AD:AD,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_xlpm.CSVVal,_xlfn.XLOOKUP($A129,CSV!$A:$A,CSV!AE:AE,""),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_xlpm.CSVVal,_xlfn.XLOOKUP($A129,CSV!$A:$A,CSV!AF:AF,""),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_xlfn.TEXTJOIN("",TRUE,Input!$B$2,ROW(My_Audit!A129)+3934)</f>
        <v>X4063</v>
      </c>
      <c r="B130" s="2" t="str">
        <f>_xlfn.TEXTJOIN("-",TRUE,"ITD",Input!$A$2,A130)</f>
        <v>ITD-SHR-X4063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CSV!AD:AD,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_xlpm.CSVVal,_xlfn.XLOOKUP($A130,CSV!$A:$A,CSV!AE:AE,""),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_xlpm.CSVVal,_xlfn.XLOOKUP($A130,CSV!$A:$A,CSV!AF:AF,""),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_xlfn.TEXTJOIN("",TRUE,Input!$B$2,ROW(My_Audit!A130)+3934)</f>
        <v>X4064</v>
      </c>
      <c r="B131" s="2" t="str">
        <f>_xlfn.TEXTJOIN("-",TRUE,"ITD",Input!$A$2,A131)</f>
        <v>ITD-SHR-X4064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CSV!AD:AD,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_xlpm.CSVVal,_xlfn.XLOOKUP($A131,CSV!$A:$A,CSV!AE:AE,""),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_xlpm.CSVVal,_xlfn.XLOOKUP($A131,CSV!$A:$A,CSV!AF:AF,""),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_xlfn.TEXTJOIN("",TRUE,Input!$B$2,ROW(My_Audit!A131)+3934)</f>
        <v>X4065</v>
      </c>
      <c r="B132" s="2" t="str">
        <f>_xlfn.TEXTJOIN("-",TRUE,"ITD",Input!$A$2,A132)</f>
        <v>ITD-SHR-X4065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CSV!AD:AD,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_xlpm.CSVVal,_xlfn.XLOOKUP($A132,CSV!$A:$A,CSV!AE:AE,""),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_xlpm.CSVVal,_xlfn.XLOOKUP($A132,CSV!$A:$A,CSV!AF:AF,""),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_xlfn.TEXTJOIN("",TRUE,Input!$B$2,ROW(My_Audit!A132)+3934)</f>
        <v>X4066</v>
      </c>
      <c r="B133" s="2" t="str">
        <f>_xlfn.TEXTJOIN("-",TRUE,"ITD",Input!$A$2,A133)</f>
        <v>ITD-SHR-X4066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CSV!AD:AD,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_xlpm.CSVVal,_xlfn.XLOOKUP($A133,CSV!$A:$A,CSV!AE:AE,""),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_xlpm.CSVVal,_xlfn.XLOOKUP($A133,CSV!$A:$A,CSV!AF:AF,""),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_xlfn.TEXTJOIN("",TRUE,Input!$B$2,ROW(My_Audit!A133)+3934)</f>
        <v>X4067</v>
      </c>
      <c r="B134" s="2" t="str">
        <f>_xlfn.TEXTJOIN("-",TRUE,"ITD",Input!$A$2,A134)</f>
        <v>ITD-SHR-X4067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CSV!AD:AD,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_xlpm.CSVVal,_xlfn.XLOOKUP($A134,CSV!$A:$A,CSV!AE:AE,""),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_xlpm.CSVVal,_xlfn.XLOOKUP($A134,CSV!$A:$A,CSV!AF:AF,""),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_xlfn.TEXTJOIN("",TRUE,Input!$B$2,ROW(My_Audit!A134)+3934)</f>
        <v>X4068</v>
      </c>
      <c r="B135" s="2" t="str">
        <f>_xlfn.TEXTJOIN("-",TRUE,"ITD",Input!$A$2,A135)</f>
        <v>ITD-SHR-X4068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CSV!AD:AD,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_xlpm.CSVVal,_xlfn.XLOOKUP($A135,CSV!$A:$A,CSV!AE:AE,""),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_xlpm.CSVVal,_xlfn.XLOOKUP($A135,CSV!$A:$A,CSV!AF:AF,""),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_xlfn.TEXTJOIN("",TRUE,Input!$B$2,ROW(My_Audit!A135)+3934)</f>
        <v>X4069</v>
      </c>
      <c r="B136" s="2" t="str">
        <f>_xlfn.TEXTJOIN("-",TRUE,"ITD",Input!$A$2,A136)</f>
        <v>ITD-SHR-X4069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CSV!AD:AD,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_xlpm.CSVVal,_xlfn.XLOOKUP($A136,CSV!$A:$A,CSV!AE:AE,""),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_xlpm.CSVVal,_xlfn.XLOOKUP($A136,CSV!$A:$A,CSV!AF:AF,""),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_xlfn.TEXTJOIN("",TRUE,Input!$B$2,ROW(My_Audit!A136)+3934)</f>
        <v>X4070</v>
      </c>
      <c r="B137" s="2" t="str">
        <f>_xlfn.TEXTJOIN("-",TRUE,"ITD",Input!$A$2,A137)</f>
        <v>ITD-SHR-X4070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CSV!AD:AD,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_xlpm.CSVVal,_xlfn.XLOOKUP($A137,CSV!$A:$A,CSV!AE:AE,""),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_xlpm.CSVVal,_xlfn.XLOOKUP($A137,CSV!$A:$A,CSV!AF:AF,""),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_xlfn.TEXTJOIN("",TRUE,Input!$B$2,ROW(My_Audit!A137)+3934)</f>
        <v>X4071</v>
      </c>
      <c r="B138" s="2" t="str">
        <f>_xlfn.TEXTJOIN("-",TRUE,"ITD",Input!$A$2,A138)</f>
        <v>ITD-SHR-X4071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CSV!AD:AD,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_xlpm.CSVVal,_xlfn.XLOOKUP($A138,CSV!$A:$A,CSV!AE:AE,""),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_xlpm.CSVVal,_xlfn.XLOOKUP($A138,CSV!$A:$A,CSV!AF:AF,""),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_xlfn.TEXTJOIN("",TRUE,Input!$B$2,ROW(My_Audit!A138)+3934)</f>
        <v>X4072</v>
      </c>
      <c r="B139" s="2" t="str">
        <f>_xlfn.TEXTJOIN("-",TRUE,"ITD",Input!$A$2,A139)</f>
        <v>ITD-SHR-X4072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CSV!AD:AD,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_xlpm.CSVVal,_xlfn.XLOOKUP($A139,CSV!$A:$A,CSV!AE:AE,""),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_xlpm.CSVVal,_xlfn.XLOOKUP($A139,CSV!$A:$A,CSV!AF:AF,""),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_xlfn.TEXTJOIN("",TRUE,Input!$B$2,ROW(My_Audit!A139)+3934)</f>
        <v>X4073</v>
      </c>
      <c r="B140" s="2" t="str">
        <f>_xlfn.TEXTJOIN("-",TRUE,"ITD",Input!$A$2,A140)</f>
        <v>ITD-SHR-X4073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CSV!AD:AD,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_xlpm.CSVVal,_xlfn.XLOOKUP($A140,CSV!$A:$A,CSV!AE:AE,""),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_xlpm.CSVVal,_xlfn.XLOOKUP($A140,CSV!$A:$A,CSV!AF:AF,""),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_xlfn.TEXTJOIN("",TRUE,Input!$B$2,ROW(My_Audit!A140)+3934)</f>
        <v>X4074</v>
      </c>
      <c r="B141" s="2" t="str">
        <f>_xlfn.TEXTJOIN("-",TRUE,"ITD",Input!$A$2,A141)</f>
        <v>ITD-SHR-X4074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CSV!AD:AD,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_xlpm.CSVVal,_xlfn.XLOOKUP($A141,CSV!$A:$A,CSV!AE:AE,""),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_xlpm.CSVVal,_xlfn.XLOOKUP($A141,CSV!$A:$A,CSV!AF:AF,""),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_xlfn.TEXTJOIN("",TRUE,Input!$B$2,ROW(My_Audit!A141)+3934)</f>
        <v>X4075</v>
      </c>
      <c r="B142" s="2" t="str">
        <f>_xlfn.TEXTJOIN("-",TRUE,"ITD",Input!$A$2,A142)</f>
        <v>ITD-SHR-X4075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CSV!AD:AD,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_xlpm.CSVVal,_xlfn.XLOOKUP($A142,CSV!$A:$A,CSV!AE:AE,""),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_xlpm.CSVVal,_xlfn.XLOOKUP($A142,CSV!$A:$A,CSV!AF:AF,""),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_xlfn.TEXTJOIN("",TRUE,Input!$B$2,ROW(My_Audit!A142)+3934)</f>
        <v>X4076</v>
      </c>
      <c r="B143" s="2" t="str">
        <f>_xlfn.TEXTJOIN("-",TRUE,"ITD",Input!$A$2,A143)</f>
        <v>ITD-SHR-X4076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CSV!AD:AD,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_xlpm.CSVVal,_xlfn.XLOOKUP($A143,CSV!$A:$A,CSV!AE:AE,""),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_xlpm.CSVVal,_xlfn.XLOOKUP($A143,CSV!$A:$A,CSV!AF:AF,""),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_xlfn.TEXTJOIN("",TRUE,Input!$B$2,ROW(My_Audit!A143)+3934)</f>
        <v>X4077</v>
      </c>
      <c r="B144" s="2" t="str">
        <f>_xlfn.TEXTJOIN("-",TRUE,"ITD",Input!$A$2,A144)</f>
        <v>ITD-SHR-X4077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CSV!AD:AD,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_xlpm.CSVVal,_xlfn.XLOOKUP($A144,CSV!$A:$A,CSV!AE:AE,""),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_xlpm.CSVVal,_xlfn.XLOOKUP($A144,CSV!$A:$A,CSV!AF:AF,""),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_xlfn.TEXTJOIN("",TRUE,Input!$B$2,ROW(My_Audit!A144)+3934)</f>
        <v>X4078</v>
      </c>
      <c r="B145" s="2" t="str">
        <f>_xlfn.TEXTJOIN("-",TRUE,"ITD",Input!$A$2,A145)</f>
        <v>ITD-SHR-X4078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CSV!AD:AD,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_xlpm.CSVVal,_xlfn.XLOOKUP($A145,CSV!$A:$A,CSV!AE:AE,""),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_xlpm.CSVVal,_xlfn.XLOOKUP($A145,CSV!$A:$A,CSV!AF:AF,""),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_xlfn.TEXTJOIN("",TRUE,Input!$B$2,ROW(My_Audit!A145)+3934)</f>
        <v>X4079</v>
      </c>
      <c r="B146" s="2" t="str">
        <f>_xlfn.TEXTJOIN("-",TRUE,"ITD",Input!$A$2,A146)</f>
        <v>ITD-SHR-X4079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CSV!AD:AD,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_xlpm.CSVVal,_xlfn.XLOOKUP($A146,CSV!$A:$A,CSV!AE:AE,""),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_xlpm.CSVVal,_xlfn.XLOOKUP($A146,CSV!$A:$A,CSV!AF:AF,""),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_xlfn.TEXTJOIN("",TRUE,Input!$B$2,ROW(My_Audit!A146)+3934)</f>
        <v>X4080</v>
      </c>
      <c r="B147" s="2" t="str">
        <f>_xlfn.TEXTJOIN("-",TRUE,"ITD",Input!$A$2,A147)</f>
        <v>ITD-SHR-X4080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CSV!AD:AD,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_xlpm.CSVVal,_xlfn.XLOOKUP($A147,CSV!$A:$A,CSV!AE:AE,""),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_xlpm.CSVVal,_xlfn.XLOOKUP($A147,CSV!$A:$A,CSV!AF:AF,""),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_xlfn.TEXTJOIN("",TRUE,Input!$B$2,ROW(My_Audit!A147)+3934)</f>
        <v>X4081</v>
      </c>
      <c r="B148" s="2" t="str">
        <f>_xlfn.TEXTJOIN("-",TRUE,"ITD",Input!$A$2,A148)</f>
        <v>ITD-SHR-X4081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CSV!AD:AD,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_xlpm.CSVVal,_xlfn.XLOOKUP($A148,CSV!$A:$A,CSV!AE:AE,""),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_xlpm.CSVVal,_xlfn.XLOOKUP($A148,CSV!$A:$A,CSV!AF:AF,""),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_xlfn.TEXTJOIN("",TRUE,Input!$B$2,ROW(My_Audit!A148)+3934)</f>
        <v>X4082</v>
      </c>
      <c r="B149" s="2" t="str">
        <f>_xlfn.TEXTJOIN("-",TRUE,"ITD",Input!$A$2,A149)</f>
        <v>ITD-SHR-X4082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CSV!AD:AD,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_xlpm.CSVVal,_xlfn.XLOOKUP($A149,CSV!$A:$A,CSV!AE:AE,""),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_xlpm.CSVVal,_xlfn.XLOOKUP($A149,CSV!$A:$A,CSV!AF:AF,""),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_xlfn.TEXTJOIN("",TRUE,Input!$B$2,ROW(My_Audit!A149)+3934)</f>
        <v>X4083</v>
      </c>
      <c r="B150" s="2" t="str">
        <f>_xlfn.TEXTJOIN("-",TRUE,"ITD",Input!$A$2,A150)</f>
        <v>ITD-SHR-X4083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CSV!AD:AD,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_xlpm.CSVVal,_xlfn.XLOOKUP($A150,CSV!$A:$A,CSV!AE:AE,""),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_xlpm.CSVVal,_xlfn.XLOOKUP($A150,CSV!$A:$A,CSV!AF:AF,""),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_xlfn.TEXTJOIN("",TRUE,Input!$B$2,ROW(My_Audit!A150)+3934)</f>
        <v>X4084</v>
      </c>
      <c r="B151" s="2" t="str">
        <f>_xlfn.TEXTJOIN("-",TRUE,"ITD",Input!$A$2,A151)</f>
        <v>ITD-SHR-X4084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CSV!AD:AD,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_xlpm.CSVVal,_xlfn.XLOOKUP($A151,CSV!$A:$A,CSV!AE:AE,""),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_xlpm.CSVVal,_xlfn.XLOOKUP($A151,CSV!$A:$A,CSV!AF:AF,""),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_xlfn.TEXTJOIN("",TRUE,Input!$B$2,ROW(My_Audit!A151)+3934)</f>
        <v>X4085</v>
      </c>
      <c r="B152" s="2" t="str">
        <f>_xlfn.TEXTJOIN("-",TRUE,"ITD",Input!$A$2,A152)</f>
        <v>ITD-SHR-X4085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CSV!AD:AD,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_xlpm.CSVVal,_xlfn.XLOOKUP($A152,CSV!$A:$A,CSV!AE:AE,""),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_xlpm.CSVVal,_xlfn.XLOOKUP($A152,CSV!$A:$A,CSV!AF:AF,""),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_xlfn.TEXTJOIN("",TRUE,Input!$B$2,ROW(My_Audit!A152)+3934)</f>
        <v>X4086</v>
      </c>
      <c r="B153" s="2" t="str">
        <f>_xlfn.TEXTJOIN("-",TRUE,"ITD",Input!$A$2,A153)</f>
        <v>ITD-SHR-X4086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CSV!AD:AD,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_xlpm.CSVVal,_xlfn.XLOOKUP($A153,CSV!$A:$A,CSV!AE:AE,""),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_xlpm.CSVVal,_xlfn.XLOOKUP($A153,CSV!$A:$A,CSV!AF:AF,""),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_xlfn.TEXTJOIN("",TRUE,Input!$B$2,ROW(My_Audit!A153)+3934)</f>
        <v>X4087</v>
      </c>
      <c r="B154" s="2" t="str">
        <f>_xlfn.TEXTJOIN("-",TRUE,"ITD",Input!$A$2,A154)</f>
        <v>ITD-SHR-X4087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CSV!AD:AD,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_xlpm.CSVVal,_xlfn.XLOOKUP($A154,CSV!$A:$A,CSV!AE:AE,""),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_xlpm.CSVVal,_xlfn.XLOOKUP($A154,CSV!$A:$A,CSV!AF:AF,""),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str">
        <f>IF(_xlfn.XLOOKUP(A155,My_Audit!A:A,My_Audit!D:D),_xlfn.XLOOKUP(A155,My_Audit!A:A,My_Audit!D:D),"")</f>
        <v/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CSV!AD:AD,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_xlpm.CSVVal,_xlfn.XLOOKUP($A155,CSV!$A:$A,CSV!AE:AE,""),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_xlpm.CSVVal,_xlfn.XLOOKUP($A155,CSV!$A:$A,CSV!AF:AF,""),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str">
        <f>IF(_xlfn.XLOOKUP(A156,My_Audit!A:A,My_Audit!D:D),_xlfn.XLOOKUP(A156,My_Audit!A:A,My_Audit!D:D),"")</f>
        <v/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CSV!AD:AD,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_xlpm.CSVVal,_xlfn.XLOOKUP($A156,CSV!$A:$A,CSV!AE:AE,""),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_xlpm.CSVVal,_xlfn.XLOOKUP($A156,CSV!$A:$A,CSV!AF:AF,""),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str">
        <f>IF(_xlfn.XLOOKUP(A157,My_Audit!A:A,My_Audit!D:D),_xlfn.XLOOKUP(A157,My_Audit!A:A,My_Audit!D:D),"")</f>
        <v/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CSV!AD:AD,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_xlpm.CSVVal,_xlfn.XLOOKUP($A157,CSV!$A:$A,CSV!AE:AE,""),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_xlpm.CSVVal,_xlfn.XLOOKUP($A157,CSV!$A:$A,CSV!AF:AF,""),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str">
        <f>IF(_xlfn.XLOOKUP(A158,My_Audit!A:A,My_Audit!D:D),_xlfn.XLOOKUP(A158,My_Audit!A:A,My_Audit!D:D),"")</f>
        <v/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CSV!AD:AD,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_xlpm.CSVVal,_xlfn.XLOOKUP($A158,CSV!$A:$A,CSV!AE:AE,""),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_xlpm.CSVVal,_xlfn.XLOOKUP($A158,CSV!$A:$A,CSV!AF:AF,""),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str">
        <f>IF(_xlfn.XLOOKUP(A159,My_Audit!A:A,My_Audit!D:D),_xlfn.XLOOKUP(A159,My_Audit!A:A,My_Audit!D:D),"")</f>
        <v/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CSV!AD:AD,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_xlpm.CSVVal,_xlfn.XLOOKUP($A159,CSV!$A:$A,CSV!AE:AE,""),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_xlpm.CSVVal,_xlfn.XLOOKUP($A159,CSV!$A:$A,CSV!AF:AF,""),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str">
        <f>IF(_xlfn.XLOOKUP(A160,My_Audit!A:A,My_Audit!D:D),_xlfn.XLOOKUP(A160,My_Audit!A:A,My_Audit!D:D),"")</f>
        <v/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CSV!AD:AD,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_xlpm.CSVVal,_xlfn.XLOOKUP($A160,CSV!$A:$A,CSV!AE:AE,""),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_xlpm.CSVVal,_xlfn.XLOOKUP($A160,CSV!$A:$A,CSV!AF:AF,""),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str">
        <f>IF(_xlfn.XLOOKUP(A161,My_Audit!A:A,My_Audit!D:D),_xlfn.XLOOKUP(A161,My_Audit!A:A,My_Audit!D:D),"")</f>
        <v/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CSV!AD:AD,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_xlpm.CSVVal,_xlfn.XLOOKUP($A161,CSV!$A:$A,CSV!AE:AE,""),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_xlpm.CSVVal,_xlfn.XLOOKUP($A161,CSV!$A:$A,CSV!AF:AF,""),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str">
        <f>IF(_xlfn.XLOOKUP(A162,My_Audit!A:A,My_Audit!D:D),_xlfn.XLOOKUP(A162,My_Audit!A:A,My_Audit!D:D),"")</f>
        <v/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CSV!AD:AD,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_xlpm.CSVVal,_xlfn.XLOOKUP($A162,CSV!$A:$A,CSV!AE:AE,""),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_xlpm.CSVVal,_xlfn.XLOOKUP($A162,CSV!$A:$A,CSV!AF:AF,""),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str">
        <f>IF(_xlfn.XLOOKUP(A163,My_Audit!A:A,My_Audit!D:D),_xlfn.XLOOKUP(A163,My_Audit!A:A,My_Audit!D:D),"")</f>
        <v/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CSV!AD:AD,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_xlpm.CSVVal,_xlfn.XLOOKUP($A163,CSV!$A:$A,CSV!AE:AE,""),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_xlpm.CSVVal,_xlfn.XLOOKUP($A163,CSV!$A:$A,CSV!AF:AF,""),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str">
        <f>IF(_xlfn.XLOOKUP(A164,My_Audit!A:A,My_Audit!D:D),_xlfn.XLOOKUP(A164,My_Audit!A:A,My_Audit!D:D),"")</f>
        <v/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CSV!AD:AD,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_xlpm.CSVVal,_xlfn.XLOOKUP($A164,CSV!$A:$A,CSV!AE:AE,""),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_xlpm.CSVVal,_xlfn.XLOOKUP($A164,CSV!$A:$A,CSV!AF:AF,""),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str">
        <f>IF(_xlfn.XLOOKUP(A165,My_Audit!A:A,My_Audit!D:D),_xlfn.XLOOKUP(A165,My_Audit!A:A,My_Audit!D:D),"")</f>
        <v/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CSV!AD:AD,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_xlpm.CSVVal,_xlfn.XLOOKUP($A165,CSV!$A:$A,CSV!AE:AE,""),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_xlpm.CSVVal,_xlfn.XLOOKUP($A165,CSV!$A:$A,CSV!AF:AF,""),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str">
        <f>IF(_xlfn.XLOOKUP(A166,My_Audit!A:A,My_Audit!D:D),_xlfn.XLOOKUP(A166,My_Audit!A:A,My_Audit!D:D),"")</f>
        <v/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CSV!AD:AD,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_xlpm.CSVVal,_xlfn.XLOOKUP($A166,CSV!$A:$A,CSV!AE:AE,""),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_xlpm.CSVVal,_xlfn.XLOOKUP($A166,CSV!$A:$A,CSV!AF:AF,""),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str">
        <f>IF(_xlfn.XLOOKUP(A167,My_Audit!A:A,My_Audit!D:D),_xlfn.XLOOKUP(A167,My_Audit!A:A,My_Audit!D:D),"")</f>
        <v/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CSV!AD:AD,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_xlpm.CSVVal,_xlfn.XLOOKUP($A167,CSV!$A:$A,CSV!AE:AE,""),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_xlpm.CSVVal,_xlfn.XLOOKUP($A167,CSV!$A:$A,CSV!AF:AF,""),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str">
        <f>IF(_xlfn.XLOOKUP(A168,My_Audit!A:A,My_Audit!D:D),_xlfn.XLOOKUP(A168,My_Audit!A:A,My_Audit!D:D),"")</f>
        <v/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CSV!AD:AD,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_xlpm.CSVVal,_xlfn.XLOOKUP($A168,CSV!$A:$A,CSV!AE:AE,""),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_xlpm.CSVVal,_xlfn.XLOOKUP($A168,CSV!$A:$A,CSV!AF:AF,""),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str">
        <f>IF(_xlfn.XLOOKUP(A169,My_Audit!A:A,My_Audit!D:D),_xlfn.XLOOKUP(A169,My_Audit!A:A,My_Audit!D:D),"")</f>
        <v/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3" sqref="A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520</v>
      </c>
      <c r="F1" s="38" t="s">
        <v>521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C14" sqref="C14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516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517</v>
      </c>
      <c r="M1" s="1" t="s">
        <v>12</v>
      </c>
      <c r="N1" s="1" t="s">
        <v>523</v>
      </c>
      <c r="O1" s="1" t="s">
        <v>13</v>
      </c>
      <c r="P1" s="1"/>
      <c r="Q1" s="1" t="s">
        <v>518</v>
      </c>
      <c r="R1" s="1" t="s">
        <v>519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X01</v>
      </c>
      <c r="D2" s="34"/>
    </row>
    <row r="3" spans="1:24">
      <c r="A3" t="str">
        <f>_xlfn.TEXTJOIN("",TRUE,Input!$B$2,"0",ROW(My_Audit!A2))</f>
        <v>X02</v>
      </c>
    </row>
    <row r="4" spans="1:24">
      <c r="A4" t="str">
        <f>_xlfn.TEXTJOIN("",TRUE,Input!$B$2,"0",ROW(My_Audit!A3))</f>
        <v>X03</v>
      </c>
    </row>
    <row r="5" spans="1:24">
      <c r="A5" t="str">
        <f>_xlfn.TEXTJOIN("",TRUE,Input!$B$2,"0",ROW(My_Audit!A4))</f>
        <v>X04</v>
      </c>
    </row>
    <row r="6" spans="1:24">
      <c r="A6" t="str">
        <f>_xlfn.TEXTJOIN("",TRUE,Input!$B$2,"0",ROW(My_Audit!A5))</f>
        <v>X05</v>
      </c>
    </row>
    <row r="7" spans="1:24">
      <c r="A7" t="str">
        <f>_xlfn.TEXTJOIN("",TRUE,Input!$B$2,"0",ROW(My_Audit!A6))</f>
        <v>X06</v>
      </c>
    </row>
    <row r="8" spans="1:24">
      <c r="A8" t="str">
        <f>_xlfn.TEXTJOIN("",TRUE,Input!$B$2,"0",ROW(My_Audit!A7))</f>
        <v>X07</v>
      </c>
    </row>
    <row r="9" spans="1:24">
      <c r="A9" t="str">
        <f>_xlfn.TEXTJOIN("",TRUE,Input!$B$2,"0",ROW(My_Audit!A8))</f>
        <v>X08</v>
      </c>
    </row>
    <row r="10" spans="1:24">
      <c r="A10" t="str">
        <f>_xlfn.TEXTJOIN("",TRUE,Input!$B$2,"0",ROW(My_Audit!A9))</f>
        <v>X09</v>
      </c>
    </row>
    <row r="11" spans="1:24">
      <c r="A11" t="str">
        <f>_xlfn.TEXTJOIN("",TRUE,Input!$B$2,ROW(My_Audit!A10))</f>
        <v>X10</v>
      </c>
    </row>
    <row r="12" spans="1:24">
      <c r="A12" t="str">
        <f>_xlfn.TEXTJOIN("",TRUE,Input!$B$2,ROW(My_Audit!A11))</f>
        <v>X11</v>
      </c>
    </row>
    <row r="13" spans="1:24">
      <c r="A13" t="str">
        <f>_xlfn.TEXTJOIN("",TRUE,Input!$B$2,ROW(My_Audit!A12))</f>
        <v>X12</v>
      </c>
    </row>
    <row r="14" spans="1:24">
      <c r="A14" t="str">
        <f>_xlfn.TEXTJOIN("",TRUE,Input!$B$2,ROW(My_Audit!A13))</f>
        <v>X13</v>
      </c>
    </row>
    <row r="15" spans="1:24">
      <c r="A15" t="str">
        <f>_xlfn.TEXTJOIN("",TRUE,Input!$B$2,ROW(My_Audit!A14))</f>
        <v>X14</v>
      </c>
    </row>
    <row r="16" spans="1:24">
      <c r="A16" t="str">
        <f>_xlfn.TEXTJOIN("",TRUE,Input!$B$2,ROW(My_Audit!A15))</f>
        <v>X15</v>
      </c>
    </row>
    <row r="17" spans="1:1">
      <c r="A17" t="str">
        <f>_xlfn.TEXTJOIN("",TRUE,Input!$B$2,ROW(My_Audit!A16))</f>
        <v>X16</v>
      </c>
    </row>
    <row r="18" spans="1:1">
      <c r="A18" t="str">
        <f>_xlfn.TEXTJOIN("",TRUE,Input!$B$2,ROW(My_Audit!A17))</f>
        <v>X17</v>
      </c>
    </row>
    <row r="19" spans="1:1">
      <c r="A19" t="str">
        <f>_xlfn.TEXTJOIN("",TRUE,Input!$B$2,ROW(My_Audit!A18))</f>
        <v>X18</v>
      </c>
    </row>
    <row r="20" spans="1:1">
      <c r="A20" t="str">
        <f>_xlfn.TEXTJOIN("",TRUE,Input!$B$2,ROW(My_Audit!A19))</f>
        <v>X19</v>
      </c>
    </row>
    <row r="21" spans="1:1">
      <c r="A21" t="str">
        <f>_xlfn.TEXTJOIN("",TRUE,Input!$B$2,ROW(My_Audit!A20))</f>
        <v>X20</v>
      </c>
    </row>
    <row r="22" spans="1:1">
      <c r="A22" t="str">
        <f>_xlfn.TEXTJOIN("",TRUE,Input!$B$2,ROW(My_Audit!A21))</f>
        <v>X21</v>
      </c>
    </row>
    <row r="23" spans="1:1">
      <c r="A23" t="str">
        <f>_xlfn.TEXTJOIN("",TRUE,Input!$B$2,ROW(My_Audit!A22))</f>
        <v>X22</v>
      </c>
    </row>
    <row r="24" spans="1:1">
      <c r="A24" t="str">
        <f>_xlfn.TEXTJOIN("",TRUE,Input!$B$2,ROW(My_Audit!A23))</f>
        <v>X23</v>
      </c>
    </row>
    <row r="25" spans="1:1">
      <c r="A25" t="str">
        <f>_xlfn.TEXTJOIN("",TRUE,Input!$B$2,ROW(My_Audit!A24))</f>
        <v>X24</v>
      </c>
    </row>
    <row r="26" spans="1:1">
      <c r="A26" t="str">
        <f>_xlfn.TEXTJOIN("",TRUE,Input!$B$2,ROW(My_Audit!A25))</f>
        <v>X25</v>
      </c>
    </row>
    <row r="27" spans="1:1">
      <c r="A27" t="str">
        <f>_xlfn.TEXTJOIN("",TRUE,Input!$B$2,ROW(My_Audit!A26))</f>
        <v>X26</v>
      </c>
    </row>
    <row r="28" spans="1:1">
      <c r="A28" t="str">
        <f>_xlfn.TEXTJOIN("",TRUE,Input!$B$2,ROW(My_Audit!A27))</f>
        <v>X27</v>
      </c>
    </row>
    <row r="29" spans="1:1">
      <c r="A29" t="str">
        <f>_xlfn.TEXTJOIN("",TRUE,Input!$B$2,ROW(My_Audit!A28))</f>
        <v>X28</v>
      </c>
    </row>
    <row r="30" spans="1:1">
      <c r="A30" t="str">
        <f>_xlfn.TEXTJOIN("",TRUE,Input!$B$2,ROW(My_Audit!A29))</f>
        <v>X29</v>
      </c>
    </row>
    <row r="31" spans="1:1">
      <c r="A31" t="str">
        <f>_xlfn.TEXTJOIN("",TRUE,Input!$B$2,ROW(My_Audit!A30))</f>
        <v>X30</v>
      </c>
    </row>
    <row r="32" spans="1:1">
      <c r="A32" t="str">
        <f>_xlfn.TEXTJOIN("",TRUE,Input!$B$2,ROW(My_Audit!A31))</f>
        <v>X31</v>
      </c>
    </row>
    <row r="33" spans="1:16">
      <c r="A33" t="str">
        <f>_xlfn.TEXTJOIN("",TRUE,Input!$B$2,ROW(My_Audit!A32))</f>
        <v>X32</v>
      </c>
    </row>
    <row r="34" spans="1:16">
      <c r="A34" t="str">
        <f>_xlfn.TEXTJOIN("",TRUE,Input!$B$2,ROW(My_Audit!A33))</f>
        <v>X33</v>
      </c>
    </row>
    <row r="35" spans="1:16">
      <c r="A35" t="str">
        <f>_xlfn.TEXTJOIN("",TRUE,Input!$B$2,ROW(My_Audit!A34))</f>
        <v>X34</v>
      </c>
    </row>
    <row r="36" spans="1:16">
      <c r="A36" t="str">
        <f>_xlfn.TEXTJOIN("",TRUE,Input!$B$2,ROW(My_Audit!A35))</f>
        <v>X35</v>
      </c>
    </row>
    <row r="37" spans="1:16">
      <c r="A37" t="str">
        <f>_xlfn.TEXTJOIN("",TRUE,Input!$B$2,ROW(My_Audit!A36))</f>
        <v>X36</v>
      </c>
    </row>
    <row r="38" spans="1:16">
      <c r="A38" t="str">
        <f>_xlfn.TEXTJOIN("",TRUE,Input!$B$2,ROW(My_Audit!A37))</f>
        <v>X37</v>
      </c>
    </row>
    <row r="39" spans="1:16">
      <c r="A39" t="str">
        <f>_xlfn.TEXTJOIN("",TRUE,Input!$B$2,ROW(My_Audit!A38))</f>
        <v>X38</v>
      </c>
    </row>
    <row r="40" spans="1:16">
      <c r="A40" t="str">
        <f>_xlfn.TEXTJOIN("",TRUE,Input!$B$2,ROW(My_Audit!A39))</f>
        <v>X39</v>
      </c>
    </row>
    <row r="41" spans="1:16">
      <c r="A41" t="str">
        <f>_xlfn.TEXTJOIN("",TRUE,Input!$B$2,ROW(My_Audit!A40))</f>
        <v>X40</v>
      </c>
    </row>
    <row r="42" spans="1:16">
      <c r="A42" t="str">
        <f>_xlfn.TEXTJOIN("",TRUE,Input!$B$2,ROW(My_Audit!A41))</f>
        <v>X41</v>
      </c>
    </row>
    <row r="43" spans="1:16">
      <c r="A43" t="str">
        <f>_xlfn.TEXTJOIN("",TRUE,Input!$B$2,ROW(My_Audit!A42))</f>
        <v>X42</v>
      </c>
    </row>
    <row r="44" spans="1:16">
      <c r="A44" t="str">
        <f>_xlfn.TEXTJOIN("",TRUE,Input!$B$2,ROW(My_Audit!A43))</f>
        <v>X43</v>
      </c>
      <c r="P44" t="str">
        <f t="shared" ref="P44:P66" si="0">_xlfn.TEXTJOIN(", ",TRUE,N44,O44)</f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A67" t="str">
        <f>_xlfn.TEXTJOIN("",TRUE,Input!$B$2,ROW(My_Audit!A66))</f>
        <v>X66</v>
      </c>
      <c r="P67" t="str">
        <f t="shared" ref="P67:P130" si="1">_xlfn.TEXTJOIN(", ",TRUE,N67,O67)</f>
        <v/>
      </c>
    </row>
    <row r="68" spans="1:16">
      <c r="A68" t="str">
        <f>_xlfn.TEXTJOIN("",TRUE,Input!$B$2,ROW(My_Audit!A67))</f>
        <v>X67</v>
      </c>
      <c r="P68" t="str">
        <f t="shared" si="1"/>
        <v/>
      </c>
    </row>
    <row r="69" spans="1:16">
      <c r="A69" t="str">
        <f>_xlfn.TEXTJOIN("",TRUE,Input!$B$2,ROW(My_Audit!A68))</f>
        <v>X68</v>
      </c>
      <c r="P69" t="str">
        <f t="shared" si="1"/>
        <v/>
      </c>
    </row>
    <row r="70" spans="1:16">
      <c r="A70" t="str">
        <f>_xlfn.TEXTJOIN("",TRUE,Input!$B$2,ROW(My_Audit!A69))</f>
        <v>X69</v>
      </c>
      <c r="P70" t="str">
        <f t="shared" si="1"/>
        <v/>
      </c>
    </row>
    <row r="71" spans="1:16">
      <c r="A71" t="str">
        <f>_xlfn.TEXTJOIN("",TRUE,Input!$B$2,ROW(My_Audit!A70))</f>
        <v>X70</v>
      </c>
      <c r="P71" t="str">
        <f t="shared" si="1"/>
        <v/>
      </c>
    </row>
    <row r="72" spans="1:16">
      <c r="A72" t="str">
        <f>_xlfn.TEXTJOIN("",TRUE,Input!$B$2,ROW(My_Audit!A71))</f>
        <v>X71</v>
      </c>
      <c r="P72" t="str">
        <f t="shared" si="1"/>
        <v/>
      </c>
    </row>
    <row r="73" spans="1:16">
      <c r="A73" t="str">
        <f>_xlfn.TEXTJOIN("",TRUE,Input!$B$2,ROW(My_Audit!A72))</f>
        <v>X72</v>
      </c>
      <c r="P73" t="str">
        <f t="shared" si="1"/>
        <v/>
      </c>
    </row>
    <row r="74" spans="1:16">
      <c r="A74" t="str">
        <f>_xlfn.TEXTJOIN("",TRUE,Input!$B$2,ROW(My_Audit!A73))</f>
        <v>X73</v>
      </c>
      <c r="P74" t="str">
        <f t="shared" si="1"/>
        <v/>
      </c>
    </row>
    <row r="75" spans="1:16">
      <c r="A75" t="str">
        <f>_xlfn.TEXTJOIN("",TRUE,Input!$B$2,ROW(My_Audit!A74))</f>
        <v>X74</v>
      </c>
      <c r="P75" t="str">
        <f t="shared" si="1"/>
        <v/>
      </c>
    </row>
    <row r="76" spans="1:16">
      <c r="A76" t="str">
        <f>_xlfn.TEXTJOIN("",TRUE,Input!$B$2,ROW(My_Audit!A75))</f>
        <v>X75</v>
      </c>
      <c r="P76" t="str">
        <f t="shared" si="1"/>
        <v/>
      </c>
    </row>
    <row r="77" spans="1:16">
      <c r="A77" t="str">
        <f>_xlfn.TEXTJOIN("",TRUE,Input!$B$2,ROW(My_Audit!A76))</f>
        <v>X76</v>
      </c>
      <c r="P77" t="str">
        <f t="shared" si="1"/>
        <v/>
      </c>
    </row>
    <row r="78" spans="1:16">
      <c r="A78" t="str">
        <f>_xlfn.TEXTJOIN("",TRUE,Input!$B$2,ROW(My_Audit!A77))</f>
        <v>X77</v>
      </c>
      <c r="P78" t="str">
        <f t="shared" si="1"/>
        <v/>
      </c>
    </row>
    <row r="79" spans="1:16">
      <c r="A79" t="str">
        <f>_xlfn.TEXTJOIN("",TRUE,Input!$B$2,ROW(My_Audit!A78))</f>
        <v>X78</v>
      </c>
      <c r="P79" t="str">
        <f t="shared" si="1"/>
        <v/>
      </c>
    </row>
    <row r="80" spans="1:16">
      <c r="A80" t="str">
        <f>_xlfn.TEXTJOIN("",TRUE,Input!$B$2,ROW(My_Audit!A79))</f>
        <v>X79</v>
      </c>
      <c r="P80" t="str">
        <f t="shared" si="1"/>
        <v/>
      </c>
    </row>
    <row r="81" spans="1:16">
      <c r="A81" t="str">
        <f>_xlfn.TEXTJOIN("",TRUE,Input!$B$2,ROW(My_Audit!A80))</f>
        <v>X80</v>
      </c>
      <c r="P81" t="str">
        <f t="shared" si="1"/>
        <v/>
      </c>
    </row>
    <row r="82" spans="1:16">
      <c r="A82" t="str">
        <f>_xlfn.TEXTJOIN("",TRUE,Input!$B$2,ROW(My_Audit!A81))</f>
        <v>X81</v>
      </c>
      <c r="P82" t="str">
        <f t="shared" si="1"/>
        <v/>
      </c>
    </row>
    <row r="83" spans="1:16">
      <c r="A83" t="str">
        <f>_xlfn.TEXTJOIN("",TRUE,Input!$B$2,ROW(My_Audit!A82))</f>
        <v>X82</v>
      </c>
      <c r="P83" t="str">
        <f t="shared" si="1"/>
        <v/>
      </c>
    </row>
    <row r="84" spans="1:16">
      <c r="A84" t="str">
        <f>_xlfn.TEXTJOIN("",TRUE,Input!$B$2,ROW(My_Audit!A83))</f>
        <v>X83</v>
      </c>
      <c r="P84" t="str">
        <f t="shared" si="1"/>
        <v/>
      </c>
    </row>
    <row r="85" spans="1:16">
      <c r="A85" t="str">
        <f>_xlfn.TEXTJOIN("",TRUE,Input!$B$2,ROW(My_Audit!A84))</f>
        <v>X84</v>
      </c>
      <c r="P85" t="str">
        <f t="shared" si="1"/>
        <v/>
      </c>
    </row>
    <row r="86" spans="1:16">
      <c r="A86" t="str">
        <f>_xlfn.TEXTJOIN("",TRUE,Input!$B$2,ROW(My_Audit!A85))</f>
        <v>X85</v>
      </c>
      <c r="P86" t="str">
        <f t="shared" si="1"/>
        <v/>
      </c>
    </row>
    <row r="87" spans="1:16">
      <c r="A87" t="str">
        <f>_xlfn.TEXTJOIN("",TRUE,Input!$B$2,ROW(My_Audit!A86))</f>
        <v>X86</v>
      </c>
      <c r="P87" t="str">
        <f t="shared" si="1"/>
        <v/>
      </c>
    </row>
    <row r="88" spans="1:16">
      <c r="A88" t="str">
        <f>_xlfn.TEXTJOIN("",TRUE,Input!$B$2,ROW(My_Audit!A87))</f>
        <v>X87</v>
      </c>
      <c r="P88" t="str">
        <f t="shared" si="1"/>
        <v/>
      </c>
    </row>
    <row r="89" spans="1:16">
      <c r="A89" t="str">
        <f>_xlfn.TEXTJOIN("",TRUE,Input!$B$2,ROW(My_Audit!A88))</f>
        <v>X88</v>
      </c>
      <c r="P89" t="str">
        <f t="shared" si="1"/>
        <v/>
      </c>
    </row>
    <row r="90" spans="1:16">
      <c r="A90" t="str">
        <f>_xlfn.TEXTJOIN("",TRUE,Input!$B$2,ROW(My_Audit!A89))</f>
        <v>X89</v>
      </c>
      <c r="P90" t="str">
        <f t="shared" si="1"/>
        <v/>
      </c>
    </row>
    <row r="91" spans="1:16">
      <c r="A91" t="str">
        <f>_xlfn.TEXTJOIN("",TRUE,Input!$B$2,ROW(My_Audit!A90))</f>
        <v>X90</v>
      </c>
      <c r="P91" t="str">
        <f t="shared" si="1"/>
        <v/>
      </c>
    </row>
    <row r="92" spans="1:16">
      <c r="A92" t="str">
        <f>_xlfn.TEXTJOIN("",TRUE,Input!$B$2,ROW(My_Audit!A91))</f>
        <v>X91</v>
      </c>
      <c r="P92" t="str">
        <f t="shared" si="1"/>
        <v/>
      </c>
    </row>
    <row r="93" spans="1:16">
      <c r="A93" t="str">
        <f>_xlfn.TEXTJOIN("",TRUE,Input!$B$2,ROW(My_Audit!A92))</f>
        <v>X92</v>
      </c>
      <c r="P93" t="str">
        <f t="shared" si="1"/>
        <v/>
      </c>
    </row>
    <row r="94" spans="1:16">
      <c r="A94" t="str">
        <f>_xlfn.TEXTJOIN("",TRUE,Input!$B$2,ROW(My_Audit!A93))</f>
        <v>X93</v>
      </c>
      <c r="P94" t="str">
        <f t="shared" si="1"/>
        <v/>
      </c>
    </row>
    <row r="95" spans="1:16">
      <c r="A95" t="str">
        <f>_xlfn.TEXTJOIN("",TRUE,Input!$B$2,ROW(My_Audit!A94))</f>
        <v>X94</v>
      </c>
      <c r="P95" t="str">
        <f t="shared" si="1"/>
        <v/>
      </c>
    </row>
    <row r="96" spans="1:16">
      <c r="A96" t="str">
        <f>_xlfn.TEXTJOIN("",TRUE,Input!$B$2,ROW(My_Audit!A95))</f>
        <v>X95</v>
      </c>
      <c r="P96" t="str">
        <f t="shared" si="1"/>
        <v/>
      </c>
    </row>
    <row r="97" spans="1:16">
      <c r="A97" t="str">
        <f>_xlfn.TEXTJOIN("",TRUE,Input!$B$2,ROW(My_Audit!A96))</f>
        <v>X96</v>
      </c>
      <c r="P97" t="str">
        <f t="shared" si="1"/>
        <v/>
      </c>
    </row>
    <row r="98" spans="1:16">
      <c r="A98" t="str">
        <f>_xlfn.TEXTJOIN("",TRUE,Input!$B$2,ROW(My_Audit!A97))</f>
        <v>X97</v>
      </c>
      <c r="P98" t="str">
        <f t="shared" si="1"/>
        <v/>
      </c>
    </row>
    <row r="99" spans="1:16">
      <c r="A99" t="str">
        <f>_xlfn.TEXTJOIN("",TRUE,Input!$B$2,ROW(My_Audit!A98))</f>
        <v>X98</v>
      </c>
      <c r="P99" t="str">
        <f t="shared" si="1"/>
        <v/>
      </c>
    </row>
    <row r="100" spans="1:16">
      <c r="A100" t="str">
        <f>_xlfn.TEXTJOIN("",TRUE,Input!$B$2,ROW(My_Audit!A99))</f>
        <v>X99</v>
      </c>
      <c r="P100" t="str">
        <f t="shared" si="1"/>
        <v/>
      </c>
    </row>
    <row r="101" spans="1:16">
      <c r="A101" t="str">
        <f>_xlfn.TEXTJOIN("",TRUE,Input!$B$2,ROW(My_Audit!A100))</f>
        <v>X100</v>
      </c>
      <c r="P101" t="str">
        <f t="shared" si="1"/>
        <v/>
      </c>
    </row>
    <row r="102" spans="1:16">
      <c r="A102" t="str">
        <f>_xlfn.TEXTJOIN("",TRUE,Input!$B$2,ROW(My_Audit!A101))</f>
        <v>X101</v>
      </c>
      <c r="P102" t="str">
        <f t="shared" si="1"/>
        <v/>
      </c>
    </row>
    <row r="103" spans="1:16">
      <c r="A103" t="str">
        <f>_xlfn.TEXTJOIN("",TRUE,Input!$B$2,ROW(My_Audit!A102))</f>
        <v>X102</v>
      </c>
      <c r="P103" t="str">
        <f t="shared" si="1"/>
        <v/>
      </c>
    </row>
    <row r="104" spans="1:16">
      <c r="A104" t="str">
        <f>_xlfn.TEXTJOIN("",TRUE,Input!$B$2,ROW(My_Audit!A103))</f>
        <v>X103</v>
      </c>
      <c r="P104" t="str">
        <f t="shared" si="1"/>
        <v/>
      </c>
    </row>
    <row r="105" spans="1:16">
      <c r="A105" t="str">
        <f>_xlfn.TEXTJOIN("",TRUE,Input!$B$2,ROW(My_Audit!A104))</f>
        <v>X104</v>
      </c>
      <c r="P105" t="str">
        <f t="shared" si="1"/>
        <v/>
      </c>
    </row>
    <row r="106" spans="1:16">
      <c r="A106" t="str">
        <f>_xlfn.TEXTJOIN("",TRUE,Input!$B$2,ROW(My_Audit!A105))</f>
        <v>X105</v>
      </c>
      <c r="P106" t="str">
        <f t="shared" si="1"/>
        <v/>
      </c>
    </row>
    <row r="107" spans="1:16">
      <c r="A107" t="str">
        <f>_xlfn.TEXTJOIN("",TRUE,Input!$B$2,ROW(My_Audit!A106))</f>
        <v>X106</v>
      </c>
      <c r="P107" t="str">
        <f t="shared" si="1"/>
        <v/>
      </c>
    </row>
    <row r="108" spans="1:16">
      <c r="A108" t="str">
        <f>_xlfn.TEXTJOIN("",TRUE,Input!$B$2,ROW(My_Audit!A107))</f>
        <v>X107</v>
      </c>
      <c r="P108" t="str">
        <f t="shared" si="1"/>
        <v/>
      </c>
    </row>
    <row r="109" spans="1:16">
      <c r="A109" t="str">
        <f>_xlfn.TEXTJOIN("",TRUE,Input!$B$2,ROW(My_Audit!A108))</f>
        <v>X108</v>
      </c>
      <c r="P109" t="str">
        <f t="shared" si="1"/>
        <v/>
      </c>
    </row>
    <row r="110" spans="1:16">
      <c r="A110" t="str">
        <f>_xlfn.TEXTJOIN("",TRUE,Input!$B$2,ROW(My_Audit!A109))</f>
        <v>X109</v>
      </c>
      <c r="P110" t="str">
        <f t="shared" si="1"/>
        <v/>
      </c>
    </row>
    <row r="111" spans="1:16">
      <c r="A111" t="str">
        <f>_xlfn.TEXTJOIN("",TRUE,Input!$B$2,ROW(My_Audit!A110))</f>
        <v>X110</v>
      </c>
      <c r="P111" t="str">
        <f t="shared" si="1"/>
        <v/>
      </c>
    </row>
    <row r="112" spans="1:16">
      <c r="A112" t="str">
        <f>_xlfn.TEXTJOIN("",TRUE,Input!$B$2,ROW(My_Audit!A111))</f>
        <v>X111</v>
      </c>
      <c r="P112" t="str">
        <f t="shared" si="1"/>
        <v/>
      </c>
    </row>
    <row r="113" spans="1:16">
      <c r="A113" t="str">
        <f>_xlfn.TEXTJOIN("",TRUE,Input!$B$2,ROW(My_Audit!A112))</f>
        <v>X112</v>
      </c>
      <c r="P113" t="str">
        <f t="shared" si="1"/>
        <v/>
      </c>
    </row>
    <row r="114" spans="1:16">
      <c r="A114" t="str">
        <f>_xlfn.TEXTJOIN("",TRUE,Input!$B$2,ROW(My_Audit!A113))</f>
        <v>X113</v>
      </c>
      <c r="P114" t="str">
        <f t="shared" si="1"/>
        <v/>
      </c>
    </row>
    <row r="115" spans="1:16">
      <c r="A115" t="str">
        <f>_xlfn.TEXTJOIN("",TRUE,Input!$B$2,ROW(My_Audit!A114))</f>
        <v>X114</v>
      </c>
      <c r="P115" t="str">
        <f t="shared" si="1"/>
        <v/>
      </c>
    </row>
    <row r="116" spans="1:16">
      <c r="A116" t="str">
        <f>_xlfn.TEXTJOIN("",TRUE,Input!$B$2,ROW(My_Audit!A115))</f>
        <v>X115</v>
      </c>
      <c r="P116" t="str">
        <f t="shared" si="1"/>
        <v/>
      </c>
    </row>
    <row r="117" spans="1:16">
      <c r="A117" t="str">
        <f>_xlfn.TEXTJOIN("",TRUE,Input!$B$2,ROW(My_Audit!A116))</f>
        <v>X116</v>
      </c>
      <c r="P117" t="str">
        <f t="shared" si="1"/>
        <v/>
      </c>
    </row>
    <row r="118" spans="1:16">
      <c r="A118" t="str">
        <f>_xlfn.TEXTJOIN("",TRUE,Input!$B$2,ROW(My_Audit!A117))</f>
        <v>X117</v>
      </c>
      <c r="P118" t="str">
        <f t="shared" si="1"/>
        <v/>
      </c>
    </row>
    <row r="119" spans="1:16">
      <c r="A119" t="str">
        <f>_xlfn.TEXTJOIN("",TRUE,Input!$B$2,ROW(My_Audit!A118))</f>
        <v>X118</v>
      </c>
      <c r="P119" t="str">
        <f t="shared" si="1"/>
        <v/>
      </c>
    </row>
    <row r="120" spans="1:16">
      <c r="A120" t="str">
        <f>_xlfn.TEXTJOIN("",TRUE,Input!$B$2,ROW(My_Audit!A119))</f>
        <v>X119</v>
      </c>
      <c r="P120" t="str">
        <f t="shared" si="1"/>
        <v/>
      </c>
    </row>
    <row r="121" spans="1:16">
      <c r="A121" t="str">
        <f>_xlfn.TEXTJOIN("",TRUE,Input!$B$2,ROW(My_Audit!A120))</f>
        <v>X120</v>
      </c>
      <c r="P121" t="str">
        <f t="shared" si="1"/>
        <v/>
      </c>
    </row>
    <row r="122" spans="1:16">
      <c r="A122" t="str">
        <f>_xlfn.TEXTJOIN("",TRUE,Input!$B$2,ROW(My_Audit!A121))</f>
        <v>X121</v>
      </c>
      <c r="P122" t="str">
        <f t="shared" si="1"/>
        <v/>
      </c>
    </row>
    <row r="123" spans="1:16">
      <c r="A123" t="str">
        <f>_xlfn.TEXTJOIN("",TRUE,Input!$B$2,ROW(My_Audit!A122))</f>
        <v>X122</v>
      </c>
      <c r="P123" t="str">
        <f t="shared" si="1"/>
        <v/>
      </c>
    </row>
    <row r="124" spans="1:16">
      <c r="A124" t="str">
        <f>_xlfn.TEXTJOIN("",TRUE,Input!$B$2,ROW(My_Audit!A123))</f>
        <v>X123</v>
      </c>
      <c r="P124" t="str">
        <f t="shared" si="1"/>
        <v/>
      </c>
    </row>
    <row r="125" spans="1:16">
      <c r="A125" t="str">
        <f>_xlfn.TEXTJOIN("",TRUE,Input!$B$2,ROW(My_Audit!A124))</f>
        <v>X124</v>
      </c>
      <c r="P125" t="str">
        <f t="shared" si="1"/>
        <v/>
      </c>
    </row>
    <row r="126" spans="1:16">
      <c r="A126" t="str">
        <f>_xlfn.TEXTJOIN("",TRUE,Input!$B$2,ROW(My_Audit!A125))</f>
        <v>X125</v>
      </c>
      <c r="P126" t="str">
        <f t="shared" si="1"/>
        <v/>
      </c>
    </row>
    <row r="127" spans="1:16">
      <c r="A127" t="str">
        <f>_xlfn.TEXTJOIN("",TRUE,Input!$B$2,ROW(My_Audit!A126))</f>
        <v>X126</v>
      </c>
      <c r="P127" t="str">
        <f t="shared" si="1"/>
        <v/>
      </c>
    </row>
    <row r="128" spans="1:16">
      <c r="A128" t="str">
        <f>_xlfn.TEXTJOIN("",TRUE,Input!$B$2,ROW(My_Audit!A127))</f>
        <v>X127</v>
      </c>
      <c r="P128" t="str">
        <f t="shared" si="1"/>
        <v/>
      </c>
    </row>
    <row r="129" spans="1:16">
      <c r="A129" t="str">
        <f>_xlfn.TEXTJOIN("",TRUE,Input!$B$2,ROW(My_Audit!A128))</f>
        <v>X128</v>
      </c>
      <c r="P129" t="str">
        <f t="shared" si="1"/>
        <v/>
      </c>
    </row>
    <row r="130" spans="1:16">
      <c r="A130" t="str">
        <f>_xlfn.TEXTJOIN("",TRUE,Input!$B$2,ROW(My_Audit!A129))</f>
        <v>X129</v>
      </c>
      <c r="P130" t="str">
        <f t="shared" si="1"/>
        <v/>
      </c>
    </row>
    <row r="131" spans="1:16">
      <c r="A131" t="str">
        <f>_xlfn.TEXTJOIN("",TRUE,Input!$B$2,ROW(My_Audit!A130))</f>
        <v>X130</v>
      </c>
      <c r="P131" t="str">
        <f t="shared" ref="P131:P194" si="2">_xlfn.TEXTJOIN(", ",TRUE,N131,O131)</f>
        <v/>
      </c>
    </row>
    <row r="132" spans="1:16">
      <c r="A132" t="str">
        <f>_xlfn.TEXTJOIN("",TRUE,Input!$B$2,ROW(My_Audit!A131))</f>
        <v>X131</v>
      </c>
      <c r="P132" t="str">
        <f t="shared" si="2"/>
        <v/>
      </c>
    </row>
    <row r="133" spans="1:16">
      <c r="A133" t="str">
        <f>_xlfn.TEXTJOIN("",TRUE,Input!$B$2,ROW(My_Audit!A132))</f>
        <v>X132</v>
      </c>
      <c r="P133" t="str">
        <f t="shared" si="2"/>
        <v/>
      </c>
    </row>
    <row r="134" spans="1:16">
      <c r="A134" t="str">
        <f>_xlfn.TEXTJOIN("",TRUE,Input!$B$2,ROW(My_Audit!A133))</f>
        <v>X133</v>
      </c>
      <c r="P134" t="str">
        <f t="shared" si="2"/>
        <v/>
      </c>
    </row>
    <row r="135" spans="1:16">
      <c r="A135" t="str">
        <f>_xlfn.TEXTJOIN("",TRUE,Input!$B$2,ROW(My_Audit!A134))</f>
        <v>X134</v>
      </c>
      <c r="P135" t="str">
        <f t="shared" si="2"/>
        <v/>
      </c>
    </row>
    <row r="136" spans="1:16">
      <c r="A136" t="str">
        <f>_xlfn.TEXTJOIN("",TRUE,Input!$B$2,ROW(My_Audit!A135))</f>
        <v>X135</v>
      </c>
      <c r="P136" t="str">
        <f t="shared" si="2"/>
        <v/>
      </c>
    </row>
    <row r="137" spans="1:16">
      <c r="A137" t="str">
        <f>_xlfn.TEXTJOIN("",TRUE,Input!$B$2,ROW(My_Audit!A136))</f>
        <v>X136</v>
      </c>
      <c r="P137" t="str">
        <f t="shared" si="2"/>
        <v/>
      </c>
    </row>
    <row r="138" spans="1:16">
      <c r="A138" t="str">
        <f>_xlfn.TEXTJOIN("",TRUE,Input!$B$2,ROW(My_Audit!A137))</f>
        <v>X137</v>
      </c>
      <c r="P138" t="str">
        <f t="shared" si="2"/>
        <v/>
      </c>
    </row>
    <row r="139" spans="1:16">
      <c r="A139" t="str">
        <f>_xlfn.TEXTJOIN("",TRUE,Input!$B$2,ROW(My_Audit!A138))</f>
        <v>X138</v>
      </c>
      <c r="P139" t="str">
        <f t="shared" si="2"/>
        <v/>
      </c>
    </row>
    <row r="140" spans="1:16">
      <c r="A140" t="str">
        <f>_xlfn.TEXTJOIN("",TRUE,Input!$B$2,ROW(My_Audit!A139))</f>
        <v>X139</v>
      </c>
      <c r="P140" t="str">
        <f t="shared" si="2"/>
        <v/>
      </c>
    </row>
    <row r="141" spans="1:16">
      <c r="A141" t="str">
        <f>_xlfn.TEXTJOIN("",TRUE,Input!$B$2,ROW(My_Audit!A140))</f>
        <v>X140</v>
      </c>
      <c r="P141" t="str">
        <f t="shared" si="2"/>
        <v/>
      </c>
    </row>
    <row r="142" spans="1:16">
      <c r="A142" t="str">
        <f>_xlfn.TEXTJOIN("",TRUE,Input!$B$2,ROW(My_Audit!A141))</f>
        <v>X141</v>
      </c>
      <c r="P142" t="str">
        <f t="shared" si="2"/>
        <v/>
      </c>
    </row>
    <row r="143" spans="1:16">
      <c r="A143" t="str">
        <f>_xlfn.TEXTJOIN("",TRUE,Input!$B$2,ROW(My_Audit!A142))</f>
        <v>X142</v>
      </c>
      <c r="P143" t="str">
        <f t="shared" si="2"/>
        <v/>
      </c>
    </row>
    <row r="144" spans="1:16">
      <c r="A144" t="str">
        <f>_xlfn.TEXTJOIN("",TRUE,Input!$B$2,ROW(My_Audit!A143))</f>
        <v>X143</v>
      </c>
      <c r="P144" t="str">
        <f t="shared" si="2"/>
        <v/>
      </c>
    </row>
    <row r="145" spans="1:16">
      <c r="A145" t="str">
        <f>_xlfn.TEXTJOIN("",TRUE,Input!$B$2,ROW(My_Audit!A144))</f>
        <v>X144</v>
      </c>
      <c r="P145" t="str">
        <f t="shared" si="2"/>
        <v/>
      </c>
    </row>
    <row r="146" spans="1:16">
      <c r="A146" t="str">
        <f>_xlfn.TEXTJOIN("",TRUE,Input!$B$2,ROW(My_Audit!A145))</f>
        <v>X145</v>
      </c>
      <c r="P146" t="str">
        <f t="shared" si="2"/>
        <v/>
      </c>
    </row>
    <row r="147" spans="1:16">
      <c r="A147" t="str">
        <f>_xlfn.TEXTJOIN("",TRUE,Input!$B$2,ROW(My_Audit!A146))</f>
        <v>X146</v>
      </c>
      <c r="P147" t="str">
        <f t="shared" si="2"/>
        <v/>
      </c>
    </row>
    <row r="148" spans="1:16">
      <c r="A148" t="str">
        <f>_xlfn.TEXTJOIN("",TRUE,Input!$B$2,ROW(My_Audit!A147))</f>
        <v>X147</v>
      </c>
      <c r="P148" t="str">
        <f t="shared" si="2"/>
        <v/>
      </c>
    </row>
    <row r="149" spans="1:16">
      <c r="A149" t="str">
        <f>_xlfn.TEXTJOIN("",TRUE,Input!$B$2,ROW(My_Audit!A148))</f>
        <v>X148</v>
      </c>
      <c r="P149" t="str">
        <f t="shared" si="2"/>
        <v/>
      </c>
    </row>
    <row r="150" spans="1:16">
      <c r="A150" t="str">
        <f>_xlfn.TEXTJOIN("",TRUE,Input!$B$2,ROW(My_Audit!A149))</f>
        <v>X149</v>
      </c>
      <c r="P150" t="str">
        <f t="shared" si="2"/>
        <v/>
      </c>
    </row>
    <row r="151" spans="1:16">
      <c r="A151" t="str">
        <f>_xlfn.TEXTJOIN("",TRUE,Input!$B$2,ROW(My_Audit!A150))</f>
        <v>X150</v>
      </c>
      <c r="P151" t="str">
        <f t="shared" si="2"/>
        <v/>
      </c>
    </row>
    <row r="152" spans="1:16">
      <c r="A152" t="str">
        <f>_xlfn.TEXTJOIN("",TRUE,Input!$B$2,ROW(My_Audit!A151))</f>
        <v>X151</v>
      </c>
      <c r="P152" t="str">
        <f t="shared" si="2"/>
        <v/>
      </c>
    </row>
    <row r="153" spans="1:16">
      <c r="A153" t="str">
        <f>_xlfn.TEXTJOIN("",TRUE,Input!$B$2,ROW(My_Audit!A152))</f>
        <v>X152</v>
      </c>
      <c r="P153" t="str">
        <f t="shared" si="2"/>
        <v/>
      </c>
    </row>
    <row r="154" spans="1:16">
      <c r="A154" t="str">
        <f>_xlfn.TEXTJOIN("",TRUE,Input!$B$2,ROW(My_Audit!A153))</f>
        <v>X153</v>
      </c>
      <c r="P154" t="str">
        <f t="shared" si="2"/>
        <v/>
      </c>
    </row>
    <row r="155" spans="1:16">
      <c r="A155" t="str">
        <f>_xlfn.TEXTJOIN("",TRUE,Input!$B$2,ROW(My_Audit!A154))</f>
        <v>X154</v>
      </c>
      <c r="P155" t="str">
        <f t="shared" si="2"/>
        <v/>
      </c>
    </row>
    <row r="156" spans="1:16">
      <c r="A156" t="str">
        <f>_xlfn.TEXTJOIN("",TRUE,Input!$B$2,ROW(My_Audit!A155))</f>
        <v>X155</v>
      </c>
      <c r="P156" t="str">
        <f t="shared" si="2"/>
        <v/>
      </c>
    </row>
    <row r="157" spans="1:16">
      <c r="A157" t="str">
        <f>_xlfn.TEXTJOIN("",TRUE,Input!$B$2,ROW(My_Audit!A156))</f>
        <v>X156</v>
      </c>
      <c r="P157" t="str">
        <f t="shared" si="2"/>
        <v/>
      </c>
    </row>
    <row r="158" spans="1:16">
      <c r="A158" t="str">
        <f>_xlfn.TEXTJOIN("",TRUE,Input!$B$2,ROW(My_Audit!A157))</f>
        <v>X157</v>
      </c>
      <c r="P158" t="str">
        <f t="shared" si="2"/>
        <v/>
      </c>
    </row>
    <row r="159" spans="1:16">
      <c r="A159" t="str">
        <f>_xlfn.TEXTJOIN("",TRUE,Input!$B$2,ROW(My_Audit!A158))</f>
        <v>X158</v>
      </c>
      <c r="P159" t="str">
        <f t="shared" si="2"/>
        <v/>
      </c>
    </row>
    <row r="160" spans="1:16">
      <c r="A160" t="str">
        <f>_xlfn.TEXTJOIN("",TRUE,Input!$B$2,ROW(My_Audit!A159))</f>
        <v>X159</v>
      </c>
      <c r="P160" t="str">
        <f t="shared" si="2"/>
        <v/>
      </c>
    </row>
    <row r="161" spans="1:16">
      <c r="A161" t="str">
        <f>_xlfn.TEXTJOIN("",TRUE,Input!$B$2,ROW(My_Audit!A160))</f>
        <v>X160</v>
      </c>
      <c r="P161" t="str">
        <f t="shared" si="2"/>
        <v/>
      </c>
    </row>
    <row r="162" spans="1:16">
      <c r="A162" t="str">
        <f>_xlfn.TEXTJOIN("",TRUE,Input!$B$2,ROW(My_Audit!A161))</f>
        <v>X161</v>
      </c>
      <c r="P162" t="str">
        <f t="shared" si="2"/>
        <v/>
      </c>
    </row>
    <row r="163" spans="1:16">
      <c r="A163" t="str">
        <f>_xlfn.TEXTJOIN("",TRUE,Input!$B$2,ROW(My_Audit!A162))</f>
        <v>X162</v>
      </c>
      <c r="P163" t="str">
        <f t="shared" si="2"/>
        <v/>
      </c>
    </row>
    <row r="164" spans="1:16">
      <c r="A164" t="str">
        <f>_xlfn.TEXTJOIN("",TRUE,Input!$B$2,ROW(My_Audit!A163))</f>
        <v>X163</v>
      </c>
      <c r="P164" t="str">
        <f t="shared" si="2"/>
        <v/>
      </c>
    </row>
    <row r="165" spans="1:16">
      <c r="A165" t="str">
        <f>_xlfn.TEXTJOIN("",TRUE,Input!$B$2,ROW(My_Audit!A164))</f>
        <v>X164</v>
      </c>
      <c r="P165" t="str">
        <f t="shared" si="2"/>
        <v/>
      </c>
    </row>
    <row r="166" spans="1:16">
      <c r="A166" t="str">
        <f>_xlfn.TEXTJOIN("",TRUE,Input!$B$2,ROW(My_Audit!A165))</f>
        <v>X165</v>
      </c>
      <c r="P166" t="str">
        <f t="shared" si="2"/>
        <v/>
      </c>
    </row>
    <row r="167" spans="1:16">
      <c r="A167" t="str">
        <f>_xlfn.TEXTJOIN("",TRUE,Input!$B$2,ROW(My_Audit!A166))</f>
        <v>X166</v>
      </c>
      <c r="P167" t="str">
        <f t="shared" si="2"/>
        <v/>
      </c>
    </row>
    <row r="168" spans="1:16">
      <c r="A168" t="str">
        <f>_xlfn.TEXTJOIN("",TRUE,Input!$B$2,ROW(My_Audit!A167))</f>
        <v>X167</v>
      </c>
      <c r="P168" t="str">
        <f t="shared" si="2"/>
        <v/>
      </c>
    </row>
    <row r="169" spans="1:16">
      <c r="A169" t="str">
        <f>_xlfn.TEXTJOIN("",TRUE,Input!$B$2,ROW(My_Audit!A168))</f>
        <v>X168</v>
      </c>
      <c r="P169" t="str">
        <f t="shared" si="2"/>
        <v/>
      </c>
    </row>
    <row r="170" spans="1:16">
      <c r="A170" t="str">
        <f>_xlfn.TEXTJOIN("",TRUE,Input!$B$2,ROW(My_Audit!A169))</f>
        <v>X169</v>
      </c>
      <c r="P170" t="str">
        <f t="shared" si="2"/>
        <v/>
      </c>
    </row>
    <row r="171" spans="1:16">
      <c r="A171" t="str">
        <f>_xlfn.TEXTJOIN("",TRUE,Input!$B$2,ROW(My_Audit!A170))</f>
        <v>X170</v>
      </c>
      <c r="P171" t="str">
        <f t="shared" si="2"/>
        <v/>
      </c>
    </row>
    <row r="172" spans="1:16">
      <c r="A172" t="str">
        <f>_xlfn.TEXTJOIN("",TRUE,Input!$B$2,ROW(My_Audit!A171))</f>
        <v>X171</v>
      </c>
      <c r="P172" t="str">
        <f t="shared" si="2"/>
        <v/>
      </c>
    </row>
    <row r="173" spans="1:16">
      <c r="A173" t="str">
        <f>_xlfn.TEXTJOIN("",TRUE,Input!$B$2,ROW(My_Audit!A172))</f>
        <v>X172</v>
      </c>
      <c r="P173" t="str">
        <f t="shared" si="2"/>
        <v/>
      </c>
    </row>
    <row r="174" spans="1:16">
      <c r="A174" t="str">
        <f>_xlfn.TEXTJOIN("",TRUE,Input!$B$2,ROW(My_Audit!A173))</f>
        <v>X173</v>
      </c>
      <c r="P174" t="str">
        <f t="shared" si="2"/>
        <v/>
      </c>
    </row>
    <row r="175" spans="1:16">
      <c r="A175" t="str">
        <f>_xlfn.TEXTJOIN("",TRUE,Input!$B$2,ROW(My_Audit!A174))</f>
        <v>X174</v>
      </c>
      <c r="P175" t="str">
        <f t="shared" si="2"/>
        <v/>
      </c>
    </row>
    <row r="176" spans="1:16">
      <c r="A176" t="str">
        <f>_xlfn.TEXTJOIN("",TRUE,Input!$B$2,ROW(My_Audit!A175))</f>
        <v>X175</v>
      </c>
      <c r="P176" t="str">
        <f t="shared" si="2"/>
        <v/>
      </c>
    </row>
    <row r="177" spans="1:16">
      <c r="A177" t="str">
        <f>_xlfn.TEXTJOIN("",TRUE,Input!$B$2,ROW(My_Audit!A176))</f>
        <v>X176</v>
      </c>
      <c r="P177" t="str">
        <f t="shared" si="2"/>
        <v/>
      </c>
    </row>
    <row r="178" spans="1:16">
      <c r="A178" t="str">
        <f>_xlfn.TEXTJOIN("",TRUE,Input!$B$2,ROW(My_Audit!A177))</f>
        <v>X177</v>
      </c>
      <c r="P178" t="str">
        <f t="shared" si="2"/>
        <v/>
      </c>
    </row>
    <row r="179" spans="1:16">
      <c r="A179" t="str">
        <f>_xlfn.TEXTJOIN("",TRUE,Input!$B$2,ROW(My_Audit!A178))</f>
        <v>X178</v>
      </c>
      <c r="P179" t="str">
        <f t="shared" si="2"/>
        <v/>
      </c>
    </row>
    <row r="180" spans="1:16">
      <c r="A180" t="str">
        <f>_xlfn.TEXTJOIN("",TRUE,Input!$B$2,ROW(My_Audit!A179))</f>
        <v>X179</v>
      </c>
      <c r="P180" t="str">
        <f t="shared" si="2"/>
        <v/>
      </c>
    </row>
    <row r="181" spans="1:16">
      <c r="A181" t="str">
        <f>_xlfn.TEXTJOIN("",TRUE,Input!$B$2,ROW(My_Audit!A180))</f>
        <v>X180</v>
      </c>
      <c r="P181" t="str">
        <f t="shared" si="2"/>
        <v/>
      </c>
    </row>
    <row r="182" spans="1:16">
      <c r="A182" t="str">
        <f>_xlfn.TEXTJOIN("",TRUE,Input!$B$2,ROW(My_Audit!A181))</f>
        <v>X181</v>
      </c>
      <c r="P182" t="str">
        <f t="shared" si="2"/>
        <v/>
      </c>
    </row>
    <row r="183" spans="1:16">
      <c r="A183" t="str">
        <f>_xlfn.TEXTJOIN("",TRUE,Input!$B$2,ROW(My_Audit!A182))</f>
        <v>X182</v>
      </c>
      <c r="P183" t="str">
        <f t="shared" si="2"/>
        <v/>
      </c>
    </row>
    <row r="184" spans="1:16">
      <c r="A184" t="str">
        <f>_xlfn.TEXTJOIN("",TRUE,Input!$B$2,ROW(My_Audit!A183))</f>
        <v>X183</v>
      </c>
      <c r="P184" t="str">
        <f t="shared" si="2"/>
        <v/>
      </c>
    </row>
    <row r="185" spans="1:16">
      <c r="A185" t="str">
        <f>_xlfn.TEXTJOIN("",TRUE,Input!$B$2,ROW(My_Audit!A184))</f>
        <v>X184</v>
      </c>
      <c r="P185" t="str">
        <f t="shared" si="2"/>
        <v/>
      </c>
    </row>
    <row r="186" spans="1:16">
      <c r="A186" t="str">
        <f>_xlfn.TEXTJOIN("",TRUE,Input!$B$2,ROW(My_Audit!A185))</f>
        <v>X185</v>
      </c>
      <c r="P186" t="str">
        <f t="shared" si="2"/>
        <v/>
      </c>
    </row>
    <row r="187" spans="1:16">
      <c r="A187" t="str">
        <f>_xlfn.TEXTJOIN("",TRUE,Input!$B$2,ROW(My_Audit!A186))</f>
        <v>X186</v>
      </c>
      <c r="P187" t="str">
        <f t="shared" si="2"/>
        <v/>
      </c>
    </row>
    <row r="188" spans="1:16">
      <c r="A188" t="str">
        <f>_xlfn.TEXTJOIN("",TRUE,Input!$B$2,ROW(My_Audit!A187))</f>
        <v>X187</v>
      </c>
      <c r="P188" t="str">
        <f t="shared" si="2"/>
        <v/>
      </c>
    </row>
    <row r="189" spans="1:16">
      <c r="A189" t="str">
        <f>_xlfn.TEXTJOIN("",TRUE,Input!$B$2,ROW(My_Audit!A188))</f>
        <v>X188</v>
      </c>
      <c r="P189" t="str">
        <f t="shared" si="2"/>
        <v/>
      </c>
    </row>
    <row r="190" spans="1:16">
      <c r="A190" t="str">
        <f>_xlfn.TEXTJOIN("",TRUE,Input!$B$2,ROW(My_Audit!A189))</f>
        <v>X189</v>
      </c>
      <c r="P190" t="str">
        <f t="shared" si="2"/>
        <v/>
      </c>
    </row>
    <row r="191" spans="1:16">
      <c r="P191" t="str">
        <f t="shared" si="2"/>
        <v/>
      </c>
    </row>
    <row r="192" spans="1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A9" sqref="A9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3">
      <c r="A1" s="36" t="s">
        <v>56</v>
      </c>
      <c r="B1" t="s">
        <v>57</v>
      </c>
      <c r="C1" s="36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526</v>
      </c>
      <c r="N1" t="s">
        <v>528</v>
      </c>
      <c r="O1" t="s">
        <v>529</v>
      </c>
      <c r="P1" t="s">
        <v>530</v>
      </c>
      <c r="Q1" t="s">
        <v>531</v>
      </c>
      <c r="R1" t="s">
        <v>532</v>
      </c>
      <c r="S1" t="s">
        <v>533</v>
      </c>
      <c r="T1" t="s">
        <v>534</v>
      </c>
      <c r="U1" t="s">
        <v>535</v>
      </c>
      <c r="V1" t="s">
        <v>536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</row>
    <row r="2" spans="1:33">
      <c r="A2" s="36" t="s">
        <v>537</v>
      </c>
      <c r="B2" s="36" t="s">
        <v>538</v>
      </c>
      <c r="C2" s="36" t="s">
        <v>539</v>
      </c>
      <c r="Y2"/>
      <c r="AD2" s="3"/>
    </row>
    <row r="3" spans="1:33">
      <c r="B3" s="40" t="s">
        <v>22</v>
      </c>
      <c r="C3" s="41" t="s">
        <v>23</v>
      </c>
      <c r="Y3"/>
      <c r="AD3" s="3"/>
    </row>
    <row r="4" spans="1:33">
      <c r="B4" s="40"/>
      <c r="C4" s="41"/>
      <c r="Y4"/>
      <c r="AD4" s="3"/>
    </row>
    <row r="5" spans="1:33">
      <c r="B5" s="40"/>
      <c r="C5" s="41"/>
      <c r="Y5"/>
    </row>
    <row r="6" spans="1:33">
      <c r="B6" s="40"/>
      <c r="C6" s="41"/>
      <c r="Y6"/>
      <c r="AD6" s="3"/>
    </row>
    <row r="7" spans="1:33">
      <c r="B7" s="40"/>
      <c r="C7" s="41"/>
      <c r="Y7"/>
      <c r="AD7" s="3"/>
    </row>
    <row r="8" spans="1:33">
      <c r="B8" s="40"/>
      <c r="C8" s="41"/>
      <c r="Y8"/>
      <c r="AD8" s="3"/>
    </row>
    <row r="9" spans="1:33">
      <c r="B9" s="40"/>
      <c r="C9" s="41"/>
      <c r="Y9"/>
      <c r="AD9" s="3"/>
    </row>
    <row r="10" spans="1:33">
      <c r="B10" s="40"/>
      <c r="C10" s="41"/>
      <c r="Y10"/>
    </row>
    <row r="11" spans="1:33">
      <c r="B11" s="40"/>
      <c r="C11" s="41"/>
      <c r="Y11"/>
      <c r="AD11" s="3"/>
    </row>
    <row r="12" spans="1:33">
      <c r="B12" s="40"/>
      <c r="C12" s="41"/>
      <c r="Y12"/>
    </row>
    <row r="13" spans="1:33">
      <c r="B13" s="40"/>
      <c r="C13" s="41"/>
      <c r="Y13"/>
      <c r="AG13" s="4"/>
    </row>
    <row r="14" spans="1:33">
      <c r="B14" s="40"/>
      <c r="C14" s="41"/>
      <c r="Y14"/>
      <c r="AD14" s="3"/>
    </row>
    <row r="15" spans="1:33">
      <c r="B15" s="40"/>
      <c r="C15" s="41"/>
      <c r="Y15"/>
    </row>
    <row r="16" spans="1:33">
      <c r="B16" s="40"/>
      <c r="C16" s="41"/>
      <c r="Y16"/>
      <c r="AD16" s="3"/>
    </row>
    <row r="17" spans="2:38">
      <c r="B17" s="40"/>
      <c r="C17" s="41"/>
      <c r="Y17"/>
    </row>
    <row r="18" spans="2:38">
      <c r="B18" s="40"/>
      <c r="C18" s="41"/>
      <c r="Y18"/>
      <c r="AD18" s="3"/>
    </row>
    <row r="19" spans="2:38">
      <c r="B19" s="40"/>
      <c r="C19" s="41"/>
      <c r="Y19"/>
      <c r="AD19" s="3"/>
    </row>
    <row r="20" spans="2:38">
      <c r="B20" s="40"/>
      <c r="C20" s="41"/>
      <c r="Y20"/>
      <c r="AD20" s="3"/>
    </row>
    <row r="21" spans="2:38">
      <c r="B21" s="40"/>
      <c r="C21" s="41"/>
      <c r="Y21"/>
      <c r="AD21" s="3"/>
    </row>
    <row r="22" spans="2:38">
      <c r="B22" s="40"/>
      <c r="C22" s="41"/>
      <c r="Y22"/>
      <c r="AD22" s="3"/>
    </row>
    <row r="23" spans="2:38">
      <c r="B23" s="40"/>
      <c r="C23" s="41"/>
      <c r="Y23"/>
      <c r="AD23" s="3"/>
    </row>
    <row r="24" spans="2:38">
      <c r="B24" s="40"/>
      <c r="C24" s="41"/>
      <c r="Y24"/>
      <c r="AD24" s="3"/>
    </row>
    <row r="25" spans="2:38">
      <c r="B25" s="40"/>
      <c r="C25" s="41"/>
      <c r="Y25"/>
      <c r="AD25" s="3"/>
      <c r="AL25" s="3"/>
    </row>
    <row r="26" spans="2:38">
      <c r="B26" s="40"/>
      <c r="C26" s="41"/>
      <c r="Y26"/>
      <c r="AL26" s="3"/>
    </row>
    <row r="27" spans="2:38">
      <c r="B27" s="40"/>
      <c r="C27" s="41"/>
      <c r="Y27"/>
      <c r="AL27" s="3"/>
    </row>
    <row r="28" spans="2:38">
      <c r="B28" s="40"/>
      <c r="C28" s="41"/>
      <c r="Y28"/>
      <c r="AL28" s="3"/>
    </row>
    <row r="29" spans="2:38">
      <c r="B29" s="40"/>
      <c r="C29" s="41"/>
      <c r="Y29"/>
      <c r="AL29" s="3"/>
    </row>
    <row r="30" spans="2:38">
      <c r="B30" s="40"/>
      <c r="C30" s="41"/>
      <c r="Y30"/>
    </row>
    <row r="31" spans="2:38">
      <c r="B31" s="40"/>
      <c r="C31" s="41"/>
      <c r="Y31"/>
      <c r="AL31" s="3"/>
    </row>
    <row r="32" spans="2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B5" sqref="B5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324</v>
      </c>
      <c r="B1" s="31" t="s">
        <v>323</v>
      </c>
      <c r="G1" s="33" t="s">
        <v>59</v>
      </c>
      <c r="H1" s="12" t="s">
        <v>320</v>
      </c>
      <c r="I1" s="1" t="s">
        <v>14</v>
      </c>
      <c r="J1" s="12" t="s">
        <v>325</v>
      </c>
      <c r="K1" s="12" t="s">
        <v>326</v>
      </c>
      <c r="L1" s="12" t="s">
        <v>327</v>
      </c>
      <c r="M1" s="12" t="s">
        <v>328</v>
      </c>
      <c r="N1" s="1" t="s">
        <v>15</v>
      </c>
    </row>
    <row r="2" spans="1:14" ht="15.75" thickTop="1">
      <c r="A2" s="31" t="s">
        <v>321</v>
      </c>
      <c r="B2" t="s">
        <v>322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322</v>
      </c>
      <c r="B3" s="43"/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20" sqref="Z20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Comment9</v>
      </c>
      <c r="T1" t="str">
        <v>CPU model</v>
      </c>
      <c r="U1" t="str">
        <v>Memory capacity</v>
      </c>
      <c r="V1" t="str">
        <v>Memory type</v>
      </c>
      <c r="W1" t="str">
        <v>Disk capacity</v>
      </c>
      <c r="X1" t="str">
        <v>Disk interface type</v>
      </c>
      <c r="Y1" t="str">
        <v>Disk serial</v>
      </c>
      <c r="Z1" t="str">
        <v>Disk model</v>
      </c>
      <c r="AA1" t="str">
        <v>Erasure start time</v>
      </c>
      <c r="AB1" t="str">
        <v>Battery test comment</v>
      </c>
      <c r="AC1" t="s">
        <v>50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tr">
        <f>IF(ISNUMBER(SEARCH("Successful",F2)),
   "Successful",
   IF(F2="Failed","Failed",""))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tr">
        <f t="shared" ref="AC3:AC66" si="0">IF(ISNUMBER(SEARCH("Successful",F3)),
   "Successful",
   IF(F3="Failed","Failed",""))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 t="str">
        <f t="shared" si="0"/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E33" sqref="E33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L260"/>
  <sheetViews>
    <sheetView zoomScaleNormal="100" workbookViewId="0">
      <pane ySplit="1" topLeftCell="A2" activePane="bottomLeft" state="frozen"/>
      <selection activeCell="E1" sqref="E1"/>
      <selection pane="bottomLeft" activeCell="A20" sqref="A20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2" width="15.140625" style="13" customWidth="1"/>
    <col min="23" max="23" width="24.28515625" style="13" customWidth="1"/>
    <col min="24" max="29" width="15.140625" style="13" customWidth="1"/>
    <col min="30" max="30" width="46.5703125" customWidth="1"/>
    <col min="31" max="31" width="17.28515625" bestFit="1" customWidth="1"/>
    <col min="32" max="32" width="15.85546875" bestFit="1" customWidth="1"/>
    <col min="33" max="33" width="18" bestFit="1" customWidth="1"/>
    <col min="34" max="34" width="17.140625" bestFit="1" customWidth="1"/>
    <col min="35" max="35" width="26.7109375" bestFit="1" customWidth="1"/>
    <col min="36" max="37" width="12.5703125" bestFit="1" customWidth="1"/>
    <col min="38" max="38" width="11.28515625" bestFit="1" customWidth="1"/>
  </cols>
  <sheetData>
    <row r="1" spans="1:38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317</v>
      </c>
      <c r="N1" s="12" t="s">
        <v>318</v>
      </c>
      <c r="O1" s="12" t="s">
        <v>319</v>
      </c>
      <c r="P1" s="1" t="s">
        <v>10</v>
      </c>
      <c r="Q1" s="1" t="s">
        <v>11</v>
      </c>
      <c r="R1" s="1" t="s">
        <v>12</v>
      </c>
      <c r="S1" s="12" t="s">
        <v>330</v>
      </c>
      <c r="T1" s="12" t="s">
        <v>329</v>
      </c>
      <c r="U1" s="42" t="s">
        <v>19</v>
      </c>
      <c r="V1" s="42"/>
      <c r="W1" s="42"/>
      <c r="X1" s="42"/>
      <c r="Y1" s="42"/>
      <c r="Z1" s="42"/>
      <c r="AA1" s="12"/>
      <c r="AB1" s="12"/>
      <c r="AC1" s="12"/>
      <c r="AD1" s="1" t="s">
        <v>13</v>
      </c>
      <c r="AE1" s="1" t="s">
        <v>14</v>
      </c>
      <c r="AF1" s="1" t="s">
        <v>15</v>
      </c>
      <c r="AG1" s="1" t="s">
        <v>16</v>
      </c>
      <c r="AH1" s="1" t="s">
        <v>17</v>
      </c>
      <c r="AI1" s="1" t="s">
        <v>18</v>
      </c>
      <c r="AJ1" s="1" t="s">
        <v>19</v>
      </c>
      <c r="AK1" s="1" t="s">
        <v>20</v>
      </c>
      <c r="AL1" s="1" t="s">
        <v>21</v>
      </c>
    </row>
    <row r="2" spans="1:38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e">
        <f>INDEX(Input!$D$2:$AD$500,
       MATCH(B2, Input!$J$2:$J$500, 0),
       MATCH("Disk Capacity", Input!$D$1:$AD$1, 0))</f>
        <v>#N/A</v>
      </c>
      <c r="S2" s="13" t="e">
        <f>_xlfn.LET(_xlpm.Result,INDEX(Input!$D$2:$AD$500,
       MATCH(B2, Input!$J$2:$J$500, 0),
       MATCH("Capacity", Input!$D$1:$AD$1, 0)),IF(_xlpm.Result="","",_xlpm.Result))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IFERROR(IF(_xlfn.XLOOKUP(B2,Input!J:J,Input!N:V)=0,"",
          _xlfn.XLOOKUP(B2,Input!J:J,Input!N:V)),"")</f>
        <v/>
      </c>
      <c r="AD2" t="str">
        <f>_xlfn.TEXTJOIN(", ",TRUE,T2,U2,V2,W2,X2,Y2,Z2)</f>
        <v/>
      </c>
      <c r="AE2" t="str">
        <f>_xlfn.XLOOKUP(B:B,Disk_Pivot!G:G,Disk_Pivot!I:I)</f>
        <v>No</v>
      </c>
      <c r="AF2" t="str">
        <f>_xlfn.XLOOKUP(B2,Disk_Pivot!G:G,Disk_Pivot!N:N)</f>
        <v/>
      </c>
    </row>
    <row r="3" spans="1:38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e">
        <f>INDEX(Input!$D$2:$AD$500,
       MATCH(B3, Input!$J$2:$J$500, 0),
       MATCH("Disk Capacity", Input!$D$1:$AD$1, 0))</f>
        <v>#N/A</v>
      </c>
      <c r="S3" s="13" t="e">
        <f>_xlfn.LET(_xlpm.Result,INDEX(Input!$D$2:$AD$500,
       MATCH(B3, Input!$J$2:$J$500, 0),
       MATCH("Capacity", Input!$D$1:$AD$1, 0)),IF(_xlpm.Result="","",_xlpm.Result))</f>
        <v>#N/A</v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AC3">IFERROR(IF(_xlfn.XLOOKUP(B3,Input!J:J,Input!N:V)=0,"",
          _xlfn.XLOOKUP(B3,Input!J:J,Input!N:V)),"")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s="13" t="str">
        <v/>
      </c>
      <c r="AB3" s="13" t="str">
        <v/>
      </c>
      <c r="AC3" s="13" t="str">
        <v/>
      </c>
      <c r="AD3" t="str">
        <f t="shared" ref="AD3:AD66" si="2">_xlfn.TEXTJOIN(", ",TRUE,T3,U3,V3,W3,X3,Y3,Z3)</f>
        <v/>
      </c>
      <c r="AE3" t="str">
        <f>_xlfn.XLOOKUP(B:B,Disk_Pivot!G:G,Disk_Pivot!I:I)</f>
        <v>No</v>
      </c>
      <c r="AF3" t="str">
        <f>_xlfn.XLOOKUP(B3,Disk_Pivot!G:G,Disk_Pivot!N:N)</f>
        <v/>
      </c>
    </row>
    <row r="4" spans="1:38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e">
        <f>INDEX(Input!$D$2:$AD$500,
       MATCH(B4, Input!$J$2:$J$500, 0),
       MATCH("Disk Capacity", Input!$D$1:$AD$1, 0))</f>
        <v>#N/A</v>
      </c>
      <c r="S4" s="13" t="e">
        <f>_xlfn.LET(_xlpm.Result,INDEX(Input!$D$2:$AD$500,
       MATCH(B4, Input!$J$2:$J$500, 0),
       MATCH("Capacity", Input!$D$1:$AD$1, 0)),IF(_xlpm.Result="","",_xlpm.Result))</f>
        <v>#N/A</v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AC4">IFERROR(IF(_xlfn.XLOOKUP(B4,Input!J:J,Input!N:V)=0,"",
          _xlfn.XLOOKUP(B4,Input!J:J,Input!N:V)),"")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s="13" t="str">
        <v/>
      </c>
      <c r="AB4" s="13" t="str">
        <v/>
      </c>
      <c r="AC4" s="13" t="str">
        <v/>
      </c>
      <c r="AD4" t="str">
        <f t="shared" si="2"/>
        <v/>
      </c>
      <c r="AE4" t="str">
        <f>_xlfn.XLOOKUP(B:B,Disk_Pivot!G:G,Disk_Pivot!I:I)</f>
        <v>No</v>
      </c>
      <c r="AF4" t="str">
        <f>_xlfn.XLOOKUP(B4,Disk_Pivot!G:G,Disk_Pivot!N:N)</f>
        <v/>
      </c>
    </row>
    <row r="5" spans="1:38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e">
        <f>INDEX(Input!$D$2:$AD$500,
       MATCH(B5, Input!$J$2:$J$500, 0),
       MATCH("Disk Capacity", Input!$D$1:$AD$1, 0))</f>
        <v>#N/A</v>
      </c>
      <c r="S5" s="13" t="e">
        <f>_xlfn.LET(_xlpm.Result,INDEX(Input!$D$2:$AD$500,
       MATCH(B5, Input!$J$2:$J$500, 0),
       MATCH("Capacity", Input!$D$1:$AD$1, 0)),IF(_xlpm.Result="","",_xlpm.Result))</f>
        <v>#N/A</v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AC5">IFERROR(IF(_xlfn.XLOOKUP(B5,Input!J:J,Input!N:V)=0,"",
          _xlfn.XLOOKUP(B5,Input!J:J,Input!N:V)),"")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s="13" t="str">
        <v/>
      </c>
      <c r="AB5" s="13" t="str">
        <v/>
      </c>
      <c r="AC5" s="13" t="str">
        <v/>
      </c>
      <c r="AD5" t="str">
        <f t="shared" si="2"/>
        <v/>
      </c>
      <c r="AE5" t="str">
        <f>_xlfn.XLOOKUP(B:B,Disk_Pivot!G:G,Disk_Pivot!I:I)</f>
        <v>No</v>
      </c>
      <c r="AF5" t="str">
        <f>_xlfn.XLOOKUP(B5,Disk_Pivot!G:G,Disk_Pivot!N:N)</f>
        <v/>
      </c>
    </row>
    <row r="6" spans="1:38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e">
        <f>INDEX(Input!$D$2:$AD$500,
       MATCH(B6, Input!$J$2:$J$500, 0),
       MATCH("Disk Capacity", Input!$D$1:$AD$1, 0))</f>
        <v>#N/A</v>
      </c>
      <c r="S6" s="13" t="e">
        <f>_xlfn.LET(_xlpm.Result,INDEX(Input!$D$2:$AD$500,
       MATCH(B6, Input!$J$2:$J$500, 0),
       MATCH("Capacity", Input!$D$1:$AD$1, 0)),IF(_xlpm.Result="","",_xlpm.Result))</f>
        <v>#N/A</v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AC6">IFERROR(IF(_xlfn.XLOOKUP(B6,Input!J:J,Input!N:V)=0,"",
          _xlfn.XLOOKUP(B6,Input!J:J,Input!N:V)),"")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s="13" t="str">
        <v/>
      </c>
      <c r="AB6" s="13" t="str">
        <v/>
      </c>
      <c r="AC6" s="13" t="str">
        <v/>
      </c>
      <c r="AD6" t="str">
        <f t="shared" si="2"/>
        <v/>
      </c>
      <c r="AE6" t="str">
        <f>_xlfn.XLOOKUP(B:B,Disk_Pivot!G:G,Disk_Pivot!I:I)</f>
        <v>No</v>
      </c>
      <c r="AF6" t="str">
        <f>_xlfn.XLOOKUP(B6,Disk_Pivot!G:G,Disk_Pivot!N:N)</f>
        <v/>
      </c>
    </row>
    <row r="7" spans="1:38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e">
        <f>INDEX(Input!$D$2:$AD$500,
       MATCH(B7, Input!$J$2:$J$500, 0),
       MATCH("Disk Capacity", Input!$D$1:$AD$1, 0))</f>
        <v>#N/A</v>
      </c>
      <c r="S7" s="13" t="e">
        <f>_xlfn.LET(_xlpm.Result,INDEX(Input!$D$2:$AD$500,
       MATCH(B7, Input!$J$2:$J$500, 0),
       MATCH("Capacity", Input!$D$1:$AD$1, 0)),IF(_xlpm.Result="","",_xlpm.Result))</f>
        <v>#N/A</v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AC7">IFERROR(IF(_xlfn.XLOOKUP(B7,Input!J:J,Input!N:V)=0,"",
          _xlfn.XLOOKUP(B7,Input!J:J,Input!N:V)),"")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s="13" t="str">
        <v/>
      </c>
      <c r="AB7" s="13" t="str">
        <v/>
      </c>
      <c r="AC7" s="13" t="str">
        <v/>
      </c>
      <c r="AD7" t="str">
        <f t="shared" si="2"/>
        <v/>
      </c>
      <c r="AE7" t="str">
        <f>_xlfn.XLOOKUP(B:B,Disk_Pivot!G:G,Disk_Pivot!I:I)</f>
        <v>No</v>
      </c>
      <c r="AF7" t="str">
        <f>_xlfn.XLOOKUP(B7,Disk_Pivot!G:G,Disk_Pivot!N:N)</f>
        <v/>
      </c>
    </row>
    <row r="8" spans="1:38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e">
        <f>INDEX(Input!$D$2:$AD$500,
       MATCH(B8, Input!$J$2:$J$500, 0),
       MATCH("Disk Capacity", Input!$D$1:$AD$1, 0))</f>
        <v>#N/A</v>
      </c>
      <c r="S8" s="13" t="e">
        <f>_xlfn.LET(_xlpm.Result,INDEX(Input!$D$2:$AD$500,
       MATCH(B8, Input!$J$2:$J$500, 0),
       MATCH("Capacity", Input!$D$1:$AD$1, 0)),IF(_xlpm.Result="","",_xlpm.Result))</f>
        <v>#N/A</v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AC8">IFERROR(IF(_xlfn.XLOOKUP(B8,Input!J:J,Input!N:V)=0,"",
          _xlfn.XLOOKUP(B8,Input!J:J,Input!N:V)),"")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s="13" t="str">
        <v/>
      </c>
      <c r="AB8" s="13" t="str">
        <v/>
      </c>
      <c r="AC8" s="13" t="str">
        <v/>
      </c>
      <c r="AD8" t="str">
        <f t="shared" si="2"/>
        <v/>
      </c>
      <c r="AE8" t="str">
        <f>_xlfn.XLOOKUP(B:B,Disk_Pivot!G:G,Disk_Pivot!I:I)</f>
        <v>No</v>
      </c>
      <c r="AF8" t="str">
        <f>_xlfn.XLOOKUP(B8,Disk_Pivot!G:G,Disk_Pivot!N:N)</f>
        <v/>
      </c>
    </row>
    <row r="9" spans="1:38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e">
        <f>INDEX(Input!$D$2:$AD$500,
       MATCH(B9, Input!$J$2:$J$500, 0),
       MATCH("Disk Capacity", Input!$D$1:$AD$1, 0))</f>
        <v>#N/A</v>
      </c>
      <c r="S9" s="13" t="e">
        <f>_xlfn.LET(_xlpm.Result,INDEX(Input!$D$2:$AD$500,
       MATCH(B9, Input!$J$2:$J$500, 0),
       MATCH("Capacity", Input!$D$1:$AD$1, 0)),IF(_xlpm.Result="","",_xlpm.Result))</f>
        <v>#N/A</v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AC9">IFERROR(IF(_xlfn.XLOOKUP(B9,Input!J:J,Input!N:V)=0,"",
          _xlfn.XLOOKUP(B9,Input!J:J,Input!N:V)),"")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s="13" t="str">
        <v/>
      </c>
      <c r="AB9" s="13" t="str">
        <v/>
      </c>
      <c r="AC9" s="13" t="str">
        <v/>
      </c>
      <c r="AD9" t="str">
        <f t="shared" si="2"/>
        <v/>
      </c>
      <c r="AE9" t="str">
        <f>_xlfn.XLOOKUP(B:B,Disk_Pivot!G:G,Disk_Pivot!I:I)</f>
        <v>No</v>
      </c>
      <c r="AF9" t="str">
        <f>_xlfn.XLOOKUP(B9,Disk_Pivot!G:G,Disk_Pivot!N:N)</f>
        <v/>
      </c>
    </row>
    <row r="10" spans="1:38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e">
        <f>INDEX(Input!$D$2:$AD$500,
       MATCH(B10, Input!$J$2:$J$500, 0),
       MATCH("Disk Capacity", Input!$D$1:$AD$1, 0))</f>
        <v>#N/A</v>
      </c>
      <c r="S10" s="13" t="e">
        <f>_xlfn.LET(_xlpm.Result,INDEX(Input!$D$2:$AD$500,
       MATCH(B10, Input!$J$2:$J$500, 0),
       MATCH("Capacity", Input!$D$1:$AD$1, 0)),IF(_xlpm.Result="","",_xlpm.Result))</f>
        <v>#N/A</v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AC10">IFERROR(IF(_xlfn.XLOOKUP(B10,Input!J:J,Input!N:V)=0,"",
          _xlfn.XLOOKUP(B10,Input!J:J,Input!N:V)),"")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s="13" t="str">
        <v/>
      </c>
      <c r="AB10" s="13" t="str">
        <v/>
      </c>
      <c r="AC10" s="13" t="str">
        <v/>
      </c>
      <c r="AD10" t="str">
        <f t="shared" si="2"/>
        <v/>
      </c>
      <c r="AE10" t="str">
        <f>_xlfn.XLOOKUP(B:B,Disk_Pivot!G:G,Disk_Pivot!I:I)</f>
        <v>No</v>
      </c>
      <c r="AF10" t="str">
        <f>_xlfn.XLOOKUP(B10,Disk_Pivot!G:G,Disk_Pivot!N:N)</f>
        <v/>
      </c>
    </row>
    <row r="11" spans="1:38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e">
        <f>INDEX(Input!$D$2:$AD$500,
       MATCH(B11, Input!$J$2:$J$500, 0),
       MATCH("Disk Capacity", Input!$D$1:$AD$1, 0))</f>
        <v>#N/A</v>
      </c>
      <c r="S11" s="13" t="e">
        <f>_xlfn.LET(_xlpm.Result,INDEX(Input!$D$2:$AD$500,
       MATCH(B11, Input!$J$2:$J$500, 0),
       MATCH("Capacity", Input!$D$1:$AD$1, 0)),IF(_xlpm.Result="","",_xlpm.Result))</f>
        <v>#N/A</v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AC11">IFERROR(IF(_xlfn.XLOOKUP(B11,Input!J:J,Input!N:V)=0,"",
          _xlfn.XLOOKUP(B11,Input!J:J,Input!N:V)),"")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s="13" t="str">
        <v/>
      </c>
      <c r="AB11" s="13" t="str">
        <v/>
      </c>
      <c r="AC11" s="13" t="str">
        <v/>
      </c>
      <c r="AD11" t="str">
        <f t="shared" si="2"/>
        <v/>
      </c>
      <c r="AE11" t="str">
        <f>_xlfn.XLOOKUP(B:B,Disk_Pivot!G:G,Disk_Pivot!I:I)</f>
        <v>No</v>
      </c>
      <c r="AF11" t="str">
        <f>_xlfn.XLOOKUP(B11,Disk_Pivot!G:G,Disk_Pivot!N:N)</f>
        <v/>
      </c>
    </row>
    <row r="12" spans="1:38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e">
        <f>INDEX(Input!$D$2:$AD$500,
       MATCH(B12, Input!$J$2:$J$500, 0),
       MATCH("Disk Capacity", Input!$D$1:$AD$1, 0))</f>
        <v>#N/A</v>
      </c>
      <c r="S12" s="13" t="e">
        <f>_xlfn.LET(_xlpm.Result,INDEX(Input!$D$2:$AD$500,
       MATCH(B12, Input!$J$2:$J$500, 0),
       MATCH("Capacity", Input!$D$1:$AD$1, 0)),IF(_xlpm.Result="","",_xlpm.Result))</f>
        <v>#N/A</v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AC12">IFERROR(IF(_xlfn.XLOOKUP(B12,Input!J:J,Input!N:V)=0,"",
          _xlfn.XLOOKUP(B12,Input!J:J,Input!N:V)),"")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s="13" t="str">
        <v/>
      </c>
      <c r="AB12" s="13" t="str">
        <v/>
      </c>
      <c r="AC12" s="13" t="str">
        <v/>
      </c>
      <c r="AD12" t="str">
        <f t="shared" si="2"/>
        <v/>
      </c>
      <c r="AE12" t="str">
        <f>_xlfn.XLOOKUP(B:B,Disk_Pivot!G:G,Disk_Pivot!I:I)</f>
        <v>No</v>
      </c>
      <c r="AF12" t="str">
        <f>_xlfn.XLOOKUP(B12,Disk_Pivot!G:G,Disk_Pivot!N:N)</f>
        <v/>
      </c>
    </row>
    <row r="13" spans="1:38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e">
        <f>INDEX(Input!$D$2:$AD$500,
       MATCH(B13, Input!$J$2:$J$500, 0),
       MATCH("Disk Capacity", Input!$D$1:$AD$1, 0))</f>
        <v>#N/A</v>
      </c>
      <c r="S13" s="13" t="e">
        <f>_xlfn.LET(_xlpm.Result,INDEX(Input!$D$2:$AD$500,
       MATCH(B13, Input!$J$2:$J$500, 0),
       MATCH("Capacity", Input!$D$1:$AD$1, 0)),IF(_xlpm.Result="","",_xlpm.Result))</f>
        <v>#N/A</v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AC13">IFERROR(IF(_xlfn.XLOOKUP(B13,Input!J:J,Input!N:V)=0,"",
          _xlfn.XLOOKUP(B13,Input!J:J,Input!N:V)),"")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s="13" t="str">
        <v/>
      </c>
      <c r="AB13" s="13" t="str">
        <v/>
      </c>
      <c r="AC13" s="13" t="str">
        <v/>
      </c>
      <c r="AD13" t="str">
        <f t="shared" si="2"/>
        <v/>
      </c>
      <c r="AE13" t="str">
        <f>_xlfn.XLOOKUP(B:B,Disk_Pivot!G:G,Disk_Pivot!I:I)</f>
        <v>No</v>
      </c>
      <c r="AF13" t="str">
        <f>_xlfn.XLOOKUP(B13,Disk_Pivot!G:G,Disk_Pivot!N:N)</f>
        <v/>
      </c>
    </row>
    <row r="14" spans="1:38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e">
        <f>INDEX(Input!$D$2:$AD$500,
       MATCH(B14, Input!$J$2:$J$500, 0),
       MATCH("Disk Capacity", Input!$D$1:$AD$1, 0))</f>
        <v>#N/A</v>
      </c>
      <c r="S14" s="13" t="e">
        <f>_xlfn.LET(_xlpm.Result,INDEX(Input!$D$2:$AD$500,
       MATCH(B14, Input!$J$2:$J$500, 0),
       MATCH("Capacity", Input!$D$1:$AD$1, 0)),IF(_xlpm.Result="","",_xlpm.Result))</f>
        <v>#N/A</v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AC14">IFERROR(IF(_xlfn.XLOOKUP(B14,Input!J:J,Input!N:V)=0,"",
          _xlfn.XLOOKUP(B14,Input!J:J,Input!N:V)),"")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s="13" t="str">
        <v/>
      </c>
      <c r="AB14" s="13" t="str">
        <v/>
      </c>
      <c r="AC14" s="13" t="str">
        <v/>
      </c>
      <c r="AD14" t="str">
        <f t="shared" si="2"/>
        <v/>
      </c>
      <c r="AE14" t="str">
        <f>_xlfn.XLOOKUP(B:B,Disk_Pivot!G:G,Disk_Pivot!I:I)</f>
        <v>No</v>
      </c>
      <c r="AF14" t="str">
        <f>_xlfn.XLOOKUP(B14,Disk_Pivot!G:G,Disk_Pivot!N:N)</f>
        <v/>
      </c>
    </row>
    <row r="15" spans="1:38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e">
        <f>INDEX(Input!$D$2:$AD$500,
       MATCH(B15, Input!$J$2:$J$500, 0),
       MATCH("Disk Capacity", Input!$D$1:$AD$1, 0))</f>
        <v>#N/A</v>
      </c>
      <c r="S15" s="13" t="e">
        <f>_xlfn.LET(_xlpm.Result,INDEX(Input!$D$2:$AD$500,
       MATCH(B15, Input!$J$2:$J$500, 0),
       MATCH("Capacity", Input!$D$1:$AD$1, 0)),IF(_xlpm.Result="","",_xlpm.Result))</f>
        <v>#N/A</v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AC15">IFERROR(IF(_xlfn.XLOOKUP(B15,Input!J:J,Input!N:V)=0,"",
          _xlfn.XLOOKUP(B15,Input!J:J,Input!N:V)),"")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s="13" t="str">
        <v/>
      </c>
      <c r="AB15" s="13" t="str">
        <v/>
      </c>
      <c r="AC15" s="13" t="str">
        <v/>
      </c>
      <c r="AD15" t="str">
        <f t="shared" si="2"/>
        <v/>
      </c>
      <c r="AE15" t="str">
        <f>_xlfn.XLOOKUP(B:B,Disk_Pivot!G:G,Disk_Pivot!I:I)</f>
        <v>No</v>
      </c>
      <c r="AF15" t="str">
        <f>_xlfn.XLOOKUP(B15,Disk_Pivot!G:G,Disk_Pivot!N:N)</f>
        <v/>
      </c>
    </row>
    <row r="16" spans="1:38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e">
        <f>INDEX(Input!$D$2:$AD$500,
       MATCH(B16, Input!$J$2:$J$500, 0),
       MATCH("Disk Capacity", Input!$D$1:$AD$1, 0))</f>
        <v>#N/A</v>
      </c>
      <c r="S16" s="13" t="e">
        <f>_xlfn.LET(_xlpm.Result,INDEX(Input!$D$2:$AD$500,
       MATCH(B16, Input!$J$2:$J$500, 0),
       MATCH("Capacity", Input!$D$1:$AD$1, 0)),IF(_xlpm.Result="","",_xlpm.Result))</f>
        <v>#N/A</v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AC16">IFERROR(IF(_xlfn.XLOOKUP(B16,Input!J:J,Input!N:V)=0,"",
          _xlfn.XLOOKUP(B16,Input!J:J,Input!N:V)),"")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s="13" t="str">
        <v/>
      </c>
      <c r="AB16" s="13" t="str">
        <v/>
      </c>
      <c r="AC16" s="13" t="str">
        <v/>
      </c>
      <c r="AD16" t="str">
        <f t="shared" si="2"/>
        <v/>
      </c>
      <c r="AE16" t="str">
        <f>_xlfn.XLOOKUP(B:B,Disk_Pivot!G:G,Disk_Pivot!I:I)</f>
        <v>No</v>
      </c>
      <c r="AF16" t="str">
        <f>_xlfn.XLOOKUP(B16,Disk_Pivot!G:G,Disk_Pivot!N:N)</f>
        <v/>
      </c>
    </row>
    <row r="17" spans="1:32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e">
        <f>INDEX(Input!$D$2:$AD$500,
       MATCH(B17, Input!$J$2:$J$500, 0),
       MATCH("Disk Capacity", Input!$D$1:$AD$1, 0))</f>
        <v>#N/A</v>
      </c>
      <c r="S17" s="13" t="e">
        <f>_xlfn.LET(_xlpm.Result,INDEX(Input!$D$2:$AD$500,
       MATCH(B17, Input!$J$2:$J$500, 0),
       MATCH("Capacity", Input!$D$1:$AD$1, 0)),IF(_xlpm.Result="","",_xlpm.Result))</f>
        <v>#N/A</v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AC17">IFERROR(IF(_xlfn.XLOOKUP(B17,Input!J:J,Input!N:V)=0,"",
          _xlfn.XLOOKUP(B17,Input!J:J,Input!N:V)),"")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s="13" t="str">
        <v/>
      </c>
      <c r="AB17" s="13" t="str">
        <v/>
      </c>
      <c r="AC17" s="13" t="str">
        <v/>
      </c>
      <c r="AD17" t="str">
        <f t="shared" si="2"/>
        <v/>
      </c>
      <c r="AE17" t="str">
        <f>_xlfn.XLOOKUP(B:B,Disk_Pivot!G:G,Disk_Pivot!I:I)</f>
        <v>No</v>
      </c>
      <c r="AF17" t="str">
        <f>_xlfn.XLOOKUP(B17,Disk_Pivot!G:G,Disk_Pivot!N:N)</f>
        <v/>
      </c>
    </row>
    <row r="18" spans="1:32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e">
        <f>INDEX(Input!$D$2:$AD$500,
       MATCH(B18, Input!$J$2:$J$500, 0),
       MATCH("Disk Capacity", Input!$D$1:$AD$1, 0))</f>
        <v>#N/A</v>
      </c>
      <c r="S18" s="13" t="e">
        <f>_xlfn.LET(_xlpm.Result,INDEX(Input!$D$2:$AD$500,
       MATCH(B18, Input!$J$2:$J$500, 0),
       MATCH("Capacity", Input!$D$1:$AD$1, 0)),IF(_xlpm.Result="","",_xlpm.Result))</f>
        <v>#N/A</v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AC18">IFERROR(IF(_xlfn.XLOOKUP(B18,Input!J:J,Input!N:V)=0,"",
          _xlfn.XLOOKUP(B18,Input!J:J,Input!N:V)),"")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s="13" t="str">
        <v/>
      </c>
      <c r="AB18" s="13" t="str">
        <v/>
      </c>
      <c r="AC18" s="13" t="str">
        <v/>
      </c>
      <c r="AD18" t="str">
        <f t="shared" si="2"/>
        <v/>
      </c>
      <c r="AE18" t="str">
        <f>_xlfn.XLOOKUP(B:B,Disk_Pivot!G:G,Disk_Pivot!I:I)</f>
        <v>No</v>
      </c>
      <c r="AF18" t="str">
        <f>_xlfn.XLOOKUP(B18,Disk_Pivot!G:G,Disk_Pivot!N:N)</f>
        <v/>
      </c>
    </row>
    <row r="19" spans="1:32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e">
        <f>INDEX(Input!$D$2:$AD$500,
       MATCH(B19, Input!$J$2:$J$500, 0),
       MATCH("Disk Capacity", Input!$D$1:$AD$1, 0))</f>
        <v>#N/A</v>
      </c>
      <c r="S19" s="13" t="e">
        <f>_xlfn.LET(_xlpm.Result,INDEX(Input!$D$2:$AD$500,
       MATCH(B19, Input!$J$2:$J$500, 0),
       MATCH("Capacity", Input!$D$1:$AD$1, 0)),IF(_xlpm.Result="","",_xlpm.Result))</f>
        <v>#N/A</v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AC19">IFERROR(IF(_xlfn.XLOOKUP(B19,Input!J:J,Input!N:V)=0,"",
          _xlfn.XLOOKUP(B19,Input!J:J,Input!N:V)),"")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s="13" t="str">
        <v/>
      </c>
      <c r="AB19" s="13" t="str">
        <v/>
      </c>
      <c r="AC19" s="13" t="str">
        <v/>
      </c>
      <c r="AD19" t="str">
        <f t="shared" si="2"/>
        <v/>
      </c>
      <c r="AE19" t="str">
        <f>_xlfn.XLOOKUP(B:B,Disk_Pivot!G:G,Disk_Pivot!I:I)</f>
        <v>No</v>
      </c>
      <c r="AF19" t="str">
        <f>_xlfn.XLOOKUP(B19,Disk_Pivot!G:G,Disk_Pivot!N:N)</f>
        <v/>
      </c>
    </row>
    <row r="20" spans="1:32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e">
        <f>INDEX(Input!$D$2:$AD$500,
       MATCH(B20, Input!$J$2:$J$500, 0),
       MATCH("Disk Capacity", Input!$D$1:$AD$1, 0))</f>
        <v>#N/A</v>
      </c>
      <c r="S20" s="13" t="e">
        <f>_xlfn.LET(_xlpm.Result,INDEX(Input!$D$2:$AD$500,
       MATCH(B20, Input!$J$2:$J$500, 0),
       MATCH("Capacity", Input!$D$1:$AD$1, 0)),IF(_xlpm.Result="","",_xlpm.Result))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AC20">IFERROR(IF(_xlfn.XLOOKUP(B20,Input!J:J,Input!N:V)=0,"",
          _xlfn.XLOOKUP(B20,Input!J:J,Input!N:V)),"")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s="13" t="str">
        <v/>
      </c>
      <c r="AB20" s="13" t="str">
        <v/>
      </c>
      <c r="AC20" s="13" t="str">
        <v/>
      </c>
      <c r="AD20" t="str">
        <f t="shared" si="2"/>
        <v/>
      </c>
      <c r="AE20" t="str">
        <f>_xlfn.XLOOKUP(B:B,Disk_Pivot!G:G,Disk_Pivot!I:I)</f>
        <v>No</v>
      </c>
      <c r="AF20" t="str">
        <f>_xlfn.XLOOKUP(B20,Disk_Pivot!G:G,Disk_Pivot!N:N)</f>
        <v/>
      </c>
    </row>
    <row r="21" spans="1:32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e">
        <f>INDEX(Input!$D$2:$AD$500,
       MATCH(B21, Input!$J$2:$J$500, 0),
       MATCH("Disk Capacity", Input!$D$1:$AD$1, 0))</f>
        <v>#N/A</v>
      </c>
      <c r="S21" s="13" t="e">
        <f>_xlfn.LET(_xlpm.Result,INDEX(Input!$D$2:$AD$500,
       MATCH(B21, Input!$J$2:$J$500, 0),
       MATCH("Capacity", Input!$D$1:$AD$1, 0)),IF(_xlpm.Result="","",_xlpm.Result))</f>
        <v>#N/A</v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AC21">IFERROR(IF(_xlfn.XLOOKUP(B21,Input!J:J,Input!N:V)=0,"",
          _xlfn.XLOOKUP(B21,Input!J:J,Input!N:V)),"")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s="13" t="str">
        <v/>
      </c>
      <c r="AB21" s="13" t="str">
        <v/>
      </c>
      <c r="AC21" s="13" t="str">
        <v/>
      </c>
      <c r="AD21" t="str">
        <f t="shared" si="2"/>
        <v/>
      </c>
      <c r="AE21" t="str">
        <f>_xlfn.XLOOKUP(B:B,Disk_Pivot!G:G,Disk_Pivot!I:I)</f>
        <v>No</v>
      </c>
      <c r="AF21" t="str">
        <f>_xlfn.XLOOKUP(B21,Disk_Pivot!G:G,Disk_Pivot!N:N)</f>
        <v/>
      </c>
    </row>
    <row r="22" spans="1:32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e">
        <f>INDEX(Input!$D$2:$AD$500,
       MATCH(B22, Input!$J$2:$J$500, 0),
       MATCH("Disk Capacity", Input!$D$1:$AD$1, 0))</f>
        <v>#N/A</v>
      </c>
      <c r="S22" s="13" t="e">
        <f>_xlfn.LET(_xlpm.Result,INDEX(Input!$D$2:$AD$500,
       MATCH(B22, Input!$J$2:$J$500, 0),
       MATCH("Capacity", Input!$D$1:$AD$1, 0)),IF(_xlpm.Result="","",_xlpm.Result))</f>
        <v>#N/A</v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AC22">IFERROR(IF(_xlfn.XLOOKUP(B22,Input!J:J,Input!N:V)=0,"",
          _xlfn.XLOOKUP(B22,Input!J:J,Input!N:V)),"")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s="13" t="str">
        <v/>
      </c>
      <c r="AB22" s="13" t="str">
        <v/>
      </c>
      <c r="AC22" s="13" t="str">
        <v/>
      </c>
      <c r="AD22" t="str">
        <f t="shared" si="2"/>
        <v/>
      </c>
      <c r="AE22" t="str">
        <f>_xlfn.XLOOKUP(B:B,Disk_Pivot!G:G,Disk_Pivot!I:I)</f>
        <v>No</v>
      </c>
      <c r="AF22" t="str">
        <f>_xlfn.XLOOKUP(B22,Disk_Pivot!G:G,Disk_Pivot!N:N)</f>
        <v/>
      </c>
    </row>
    <row r="23" spans="1:32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e">
        <f>INDEX(Input!$D$2:$AD$500,
       MATCH(B23, Input!$J$2:$J$500, 0),
       MATCH("Disk Capacity", Input!$D$1:$AD$1, 0))</f>
        <v>#N/A</v>
      </c>
      <c r="S23" s="13" t="e">
        <f>_xlfn.LET(_xlpm.Result,INDEX(Input!$D$2:$AD$500,
       MATCH(B23, Input!$J$2:$J$500, 0),
       MATCH("Capacity", Input!$D$1:$AD$1, 0)),IF(_xlpm.Result="","",_xlpm.Result))</f>
        <v>#N/A</v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AC23">IFERROR(IF(_xlfn.XLOOKUP(B23,Input!J:J,Input!N:V)=0,"",
          _xlfn.XLOOKUP(B23,Input!J:J,Input!N:V)),"")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s="13" t="str">
        <v/>
      </c>
      <c r="AB23" s="13" t="str">
        <v/>
      </c>
      <c r="AC23" s="13" t="str">
        <v/>
      </c>
      <c r="AD23" t="str">
        <f t="shared" si="2"/>
        <v/>
      </c>
      <c r="AE23" t="str">
        <f>_xlfn.XLOOKUP(B:B,Disk_Pivot!G:G,Disk_Pivot!I:I)</f>
        <v>No</v>
      </c>
      <c r="AF23" t="str">
        <f>_xlfn.XLOOKUP(B23,Disk_Pivot!G:G,Disk_Pivot!N:N)</f>
        <v/>
      </c>
    </row>
    <row r="24" spans="1:32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e">
        <f>INDEX(Input!$D$2:$AD$500,
       MATCH(B24, Input!$J$2:$J$500, 0),
       MATCH("Disk Capacity", Input!$D$1:$AD$1, 0))</f>
        <v>#N/A</v>
      </c>
      <c r="S24" s="13" t="e">
        <f>_xlfn.LET(_xlpm.Result,INDEX(Input!$D$2:$AD$500,
       MATCH(B24, Input!$J$2:$J$500, 0),
       MATCH("Capacity", Input!$D$1:$AD$1, 0)),IF(_xlpm.Result="","",_xlpm.Result))</f>
        <v>#N/A</v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AC24">IFERROR(IF(_xlfn.XLOOKUP(B24,Input!J:J,Input!N:V)=0,"",
          _xlfn.XLOOKUP(B24,Input!J:J,Input!N:V)),"")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s="13" t="str">
        <v/>
      </c>
      <c r="AB24" s="13" t="str">
        <v/>
      </c>
      <c r="AC24" s="13" t="str">
        <v/>
      </c>
      <c r="AD24" t="str">
        <f t="shared" si="2"/>
        <v/>
      </c>
      <c r="AE24" t="str">
        <f>_xlfn.XLOOKUP(B:B,Disk_Pivot!G:G,Disk_Pivot!I:I)</f>
        <v>No</v>
      </c>
      <c r="AF24" t="str">
        <f>_xlfn.XLOOKUP(B24,Disk_Pivot!G:G,Disk_Pivot!N:N)</f>
        <v/>
      </c>
    </row>
    <row r="25" spans="1:32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e">
        <f>INDEX(Input!$D$2:$AD$500,
       MATCH(B25, Input!$J$2:$J$500, 0),
       MATCH("Disk Capacity", Input!$D$1:$AD$1, 0))</f>
        <v>#N/A</v>
      </c>
      <c r="S25" s="13" t="e">
        <f>_xlfn.LET(_xlpm.Result,INDEX(Input!$D$2:$AD$500,
       MATCH(B25, Input!$J$2:$J$500, 0),
       MATCH("Capacity", Input!$D$1:$AD$1, 0)),IF(_xlpm.Result="","",_xlpm.Result))</f>
        <v>#N/A</v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AC25">IFERROR(IF(_xlfn.XLOOKUP(B25,Input!J:J,Input!N:V)=0,"",
          _xlfn.XLOOKUP(B25,Input!J:J,Input!N:V)),"")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s="13" t="str">
        <v/>
      </c>
      <c r="AB25" s="13" t="str">
        <v/>
      </c>
      <c r="AC25" s="13" t="str">
        <v/>
      </c>
      <c r="AD25" t="str">
        <f t="shared" si="2"/>
        <v/>
      </c>
      <c r="AE25" t="str">
        <f>_xlfn.XLOOKUP(B:B,Disk_Pivot!G:G,Disk_Pivot!I:I)</f>
        <v>No</v>
      </c>
      <c r="AF25" t="str">
        <f>_xlfn.XLOOKUP(B25,Disk_Pivot!G:G,Disk_Pivot!N:N)</f>
        <v/>
      </c>
    </row>
    <row r="26" spans="1:32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e">
        <f>INDEX(Input!$D$2:$AD$500,
       MATCH(B26, Input!$J$2:$J$500, 0),
       MATCH("Disk Capacity", Input!$D$1:$AD$1, 0))</f>
        <v>#N/A</v>
      </c>
      <c r="S26" s="13" t="e">
        <f>_xlfn.LET(_xlpm.Result,INDEX(Input!$D$2:$AD$500,
       MATCH(B26, Input!$J$2:$J$500, 0),
       MATCH("Capacity", Input!$D$1:$AD$1, 0)),IF(_xlpm.Result="","",_xlpm.Result))</f>
        <v>#N/A</v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AC26">IFERROR(IF(_xlfn.XLOOKUP(B26,Input!J:J,Input!N:V)=0,"",
          _xlfn.XLOOKUP(B26,Input!J:J,Input!N:V)),"")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s="13" t="str">
        <v/>
      </c>
      <c r="AB26" s="13" t="str">
        <v/>
      </c>
      <c r="AC26" s="13" t="str">
        <v/>
      </c>
      <c r="AD26" t="str">
        <f t="shared" si="2"/>
        <v/>
      </c>
      <c r="AE26" t="str">
        <f>_xlfn.XLOOKUP(B:B,Disk_Pivot!G:G,Disk_Pivot!I:I)</f>
        <v>No</v>
      </c>
      <c r="AF26" t="str">
        <f>_xlfn.XLOOKUP(B26,Disk_Pivot!G:G,Disk_Pivot!N:N)</f>
        <v/>
      </c>
    </row>
    <row r="27" spans="1:32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e">
        <f>INDEX(Input!$D$2:$AD$500,
       MATCH(B27, Input!$J$2:$J$500, 0),
       MATCH("Disk Capacity", Input!$D$1:$AD$1, 0))</f>
        <v>#N/A</v>
      </c>
      <c r="S27" s="13" t="e">
        <f>_xlfn.LET(_xlpm.Result,INDEX(Input!$D$2:$AD$500,
       MATCH(B27, Input!$J$2:$J$500, 0),
       MATCH("Capacity", Input!$D$1:$AD$1, 0)),IF(_xlpm.Result="","",_xlpm.Result))</f>
        <v>#N/A</v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AC27">IFERROR(IF(_xlfn.XLOOKUP(B27,Input!J:J,Input!N:V)=0,"",
          _xlfn.XLOOKUP(B27,Input!J:J,Input!N:V)),"")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s="13" t="str">
        <v/>
      </c>
      <c r="AB27" s="13" t="str">
        <v/>
      </c>
      <c r="AC27" s="13" t="str">
        <v/>
      </c>
      <c r="AD27" t="str">
        <f t="shared" si="2"/>
        <v/>
      </c>
      <c r="AE27" t="str">
        <f>_xlfn.XLOOKUP(B:B,Disk_Pivot!G:G,Disk_Pivot!I:I)</f>
        <v>No</v>
      </c>
      <c r="AF27" t="str">
        <f>_xlfn.XLOOKUP(B27,Disk_Pivot!G:G,Disk_Pivot!N:N)</f>
        <v/>
      </c>
    </row>
    <row r="28" spans="1:32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e">
        <f>INDEX(Input!$D$2:$AD$500,
       MATCH(B28, Input!$J$2:$J$500, 0),
       MATCH("Disk Capacity", Input!$D$1:$AD$1, 0))</f>
        <v>#N/A</v>
      </c>
      <c r="S28" s="13" t="e">
        <f>_xlfn.LET(_xlpm.Result,INDEX(Input!$D$2:$AD$500,
       MATCH(B28, Input!$J$2:$J$500, 0),
       MATCH("Capacity", Input!$D$1:$AD$1, 0)),IF(_xlpm.Result="","",_xlpm.Result))</f>
        <v>#N/A</v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AC28">IFERROR(IF(_xlfn.XLOOKUP(B28,Input!J:J,Input!N:V)=0,"",
          _xlfn.XLOOKUP(B28,Input!J:J,Input!N:V)),"")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s="13" t="str">
        <v/>
      </c>
      <c r="AB28" s="13" t="str">
        <v/>
      </c>
      <c r="AC28" s="13" t="str">
        <v/>
      </c>
      <c r="AD28" t="str">
        <f t="shared" si="2"/>
        <v/>
      </c>
      <c r="AE28" t="str">
        <f>_xlfn.XLOOKUP(B:B,Disk_Pivot!G:G,Disk_Pivot!I:I)</f>
        <v>No</v>
      </c>
      <c r="AF28" t="str">
        <f>_xlfn.XLOOKUP(B28,Disk_Pivot!G:G,Disk_Pivot!N:N)</f>
        <v/>
      </c>
    </row>
    <row r="29" spans="1:32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e">
        <f>INDEX(Input!$D$2:$AD$500,
       MATCH(B29, Input!$J$2:$J$500, 0),
       MATCH("Disk Capacity", Input!$D$1:$AD$1, 0))</f>
        <v>#N/A</v>
      </c>
      <c r="S29" s="13" t="e">
        <f>_xlfn.LET(_xlpm.Result,INDEX(Input!$D$2:$AD$500,
       MATCH(B29, Input!$J$2:$J$500, 0),
       MATCH("Capacity", Input!$D$1:$AD$1, 0)),IF(_xlpm.Result="","",_xlpm.Result))</f>
        <v>#N/A</v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AC29">IFERROR(IF(_xlfn.XLOOKUP(B29,Input!J:J,Input!N:V)=0,"",
          _xlfn.XLOOKUP(B29,Input!J:J,Input!N:V)),"")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s="13" t="str">
        <v/>
      </c>
      <c r="AB29" s="13" t="str">
        <v/>
      </c>
      <c r="AC29" s="13" t="str">
        <v/>
      </c>
      <c r="AD29" t="str">
        <f t="shared" si="2"/>
        <v/>
      </c>
      <c r="AE29" t="str">
        <f>_xlfn.XLOOKUP(B:B,Disk_Pivot!G:G,Disk_Pivot!I:I)</f>
        <v>No</v>
      </c>
      <c r="AF29" t="str">
        <f>_xlfn.XLOOKUP(B29,Disk_Pivot!G:G,Disk_Pivot!N:N)</f>
        <v/>
      </c>
    </row>
    <row r="30" spans="1:32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e">
        <f>INDEX(Input!$D$2:$AD$500,
       MATCH(B30, Input!$J$2:$J$500, 0),
       MATCH("Disk Capacity", Input!$D$1:$AD$1, 0))</f>
        <v>#N/A</v>
      </c>
      <c r="S30" s="13" t="e">
        <f>_xlfn.LET(_xlpm.Result,INDEX(Input!$D$2:$AD$500,
       MATCH(B30, Input!$J$2:$J$500, 0),
       MATCH("Capacity", Input!$D$1:$AD$1, 0)),IF(_xlpm.Result="","",_xlpm.Result))</f>
        <v>#N/A</v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AC30">IFERROR(IF(_xlfn.XLOOKUP(B30,Input!J:J,Input!N:V)=0,"",
          _xlfn.XLOOKUP(B30,Input!J:J,Input!N:V)),"")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s="13" t="str">
        <v/>
      </c>
      <c r="AB30" s="13" t="str">
        <v/>
      </c>
      <c r="AC30" s="13" t="str">
        <v/>
      </c>
      <c r="AD30" t="str">
        <f t="shared" si="2"/>
        <v/>
      </c>
      <c r="AE30" t="str">
        <f>_xlfn.XLOOKUP(B:B,Disk_Pivot!G:G,Disk_Pivot!I:I)</f>
        <v>No</v>
      </c>
      <c r="AF30" t="str">
        <f>_xlfn.XLOOKUP(B30,Disk_Pivot!G:G,Disk_Pivot!N:N)</f>
        <v/>
      </c>
    </row>
    <row r="31" spans="1:32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e">
        <f>INDEX(Input!$D$2:$AD$500,
       MATCH(B31, Input!$J$2:$J$500, 0),
       MATCH("Disk Capacity", Input!$D$1:$AD$1, 0))</f>
        <v>#N/A</v>
      </c>
      <c r="S31" s="13" t="e">
        <f>_xlfn.LET(_xlpm.Result,INDEX(Input!$D$2:$AD$500,
       MATCH(B31, Input!$J$2:$J$500, 0),
       MATCH("Capacity", Input!$D$1:$AD$1, 0)),IF(_xlpm.Result="","",_xlpm.Result))</f>
        <v>#N/A</v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AC31">IFERROR(IF(_xlfn.XLOOKUP(B31,Input!J:J,Input!N:V)=0,"",
          _xlfn.XLOOKUP(B31,Input!J:J,Input!N:V)),"")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s="13" t="str">
        <v/>
      </c>
      <c r="AB31" s="13" t="str">
        <v/>
      </c>
      <c r="AC31" s="13" t="str">
        <v/>
      </c>
      <c r="AD31" t="str">
        <f t="shared" si="2"/>
        <v/>
      </c>
      <c r="AE31" t="str">
        <f>_xlfn.XLOOKUP(B:B,Disk_Pivot!G:G,Disk_Pivot!I:I)</f>
        <v>No</v>
      </c>
      <c r="AF31" t="str">
        <f>_xlfn.XLOOKUP(B31,Disk_Pivot!G:G,Disk_Pivot!N:N)</f>
        <v/>
      </c>
    </row>
    <row r="32" spans="1:32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e">
        <f>INDEX(Input!$D$2:$AD$500,
       MATCH(B32, Input!$J$2:$J$500, 0),
       MATCH("Disk Capacity", Input!$D$1:$AD$1, 0))</f>
        <v>#N/A</v>
      </c>
      <c r="S32" s="13" t="e">
        <f>_xlfn.LET(_xlpm.Result,INDEX(Input!$D$2:$AD$500,
       MATCH(B32, Input!$J$2:$J$500, 0),
       MATCH("Capacity", Input!$D$1:$AD$1, 0)),IF(_xlpm.Result="","",_xlpm.Result))</f>
        <v>#N/A</v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AC32">IFERROR(IF(_xlfn.XLOOKUP(B32,Input!J:J,Input!N:V)=0,"",
          _xlfn.XLOOKUP(B32,Input!J:J,Input!N:V)),"")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s="13" t="str">
        <v/>
      </c>
      <c r="AB32" s="13" t="str">
        <v/>
      </c>
      <c r="AC32" s="13" t="str">
        <v/>
      </c>
      <c r="AD32" t="str">
        <f t="shared" si="2"/>
        <v/>
      </c>
      <c r="AE32" t="str">
        <f>_xlfn.XLOOKUP(B:B,Disk_Pivot!G:G,Disk_Pivot!I:I)</f>
        <v>No</v>
      </c>
      <c r="AF32" t="str">
        <f>_xlfn.XLOOKUP(B32,Disk_Pivot!G:G,Disk_Pivot!N:N)</f>
        <v/>
      </c>
    </row>
    <row r="33" spans="1:32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e">
        <f>INDEX(Input!$D$2:$AD$500,
       MATCH(B33, Input!$J$2:$J$500, 0),
       MATCH("Disk Capacity", Input!$D$1:$AD$1, 0))</f>
        <v>#N/A</v>
      </c>
      <c r="S33" s="13" t="e">
        <f>_xlfn.LET(_xlpm.Result,INDEX(Input!$D$2:$AD$500,
       MATCH(B33, Input!$J$2:$J$500, 0),
       MATCH("Capacity", Input!$D$1:$AD$1, 0)),IF(_xlpm.Result="","",_xlpm.Result))</f>
        <v>#N/A</v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AC33">IFERROR(IF(_xlfn.XLOOKUP(B33,Input!J:J,Input!N:V)=0,"",
          _xlfn.XLOOKUP(B33,Input!J:J,Input!N:V)),"")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s="13" t="str">
        <v/>
      </c>
      <c r="AB33" s="13" t="str">
        <v/>
      </c>
      <c r="AC33" s="13" t="str">
        <v/>
      </c>
      <c r="AD33" t="str">
        <f t="shared" si="2"/>
        <v/>
      </c>
      <c r="AE33" t="str">
        <f>_xlfn.XLOOKUP(B:B,Disk_Pivot!G:G,Disk_Pivot!I:I)</f>
        <v>No</v>
      </c>
      <c r="AF33" t="str">
        <f>_xlfn.XLOOKUP(B33,Disk_Pivot!G:G,Disk_Pivot!N:N)</f>
        <v/>
      </c>
    </row>
    <row r="34" spans="1:32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e">
        <f>INDEX(Input!$D$2:$AD$500,
       MATCH(B34, Input!$J$2:$J$500, 0),
       MATCH("Disk Capacity", Input!$D$1:$AD$1, 0))</f>
        <v>#N/A</v>
      </c>
      <c r="S34" s="13" t="e">
        <f>_xlfn.LET(_xlpm.Result,INDEX(Input!$D$2:$AD$500,
       MATCH(B34, Input!$J$2:$J$500, 0),
       MATCH("Capacity", Input!$D$1:$AD$1, 0)),IF(_xlpm.Result="","",_xlpm.Result))</f>
        <v>#N/A</v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AC34">IFERROR(IF(_xlfn.XLOOKUP(B34,Input!J:J,Input!N:V)=0,"",
          _xlfn.XLOOKUP(B34,Input!J:J,Input!N:V)),"")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s="13" t="str">
        <v/>
      </c>
      <c r="AB34" s="13" t="str">
        <v/>
      </c>
      <c r="AC34" s="13" t="str">
        <v/>
      </c>
      <c r="AD34" t="str">
        <f t="shared" si="2"/>
        <v/>
      </c>
      <c r="AE34" t="str">
        <f>_xlfn.XLOOKUP(B:B,Disk_Pivot!G:G,Disk_Pivot!I:I)</f>
        <v>No</v>
      </c>
      <c r="AF34" t="str">
        <f>_xlfn.XLOOKUP(B34,Disk_Pivot!G:G,Disk_Pivot!N:N)</f>
        <v/>
      </c>
    </row>
    <row r="35" spans="1:32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e">
        <f>INDEX(Input!$D$2:$AD$500,
       MATCH(B35, Input!$J$2:$J$500, 0),
       MATCH("Disk Capacity", Input!$D$1:$AD$1, 0))</f>
        <v>#N/A</v>
      </c>
      <c r="S35" s="13" t="e">
        <f>_xlfn.LET(_xlpm.Result,INDEX(Input!$D$2:$AD$500,
       MATCH(B35, Input!$J$2:$J$500, 0),
       MATCH("Capacity", Input!$D$1:$AD$1, 0)),IF(_xlpm.Result="","",_xlpm.Result))</f>
        <v>#N/A</v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AC35">IFERROR(IF(_xlfn.XLOOKUP(B35,Input!J:J,Input!N:V)=0,"",
          _xlfn.XLOOKUP(B35,Input!J:J,Input!N:V)),"")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s="13" t="str">
        <v/>
      </c>
      <c r="AB35" s="13" t="str">
        <v/>
      </c>
      <c r="AC35" s="13" t="str">
        <v/>
      </c>
      <c r="AD35" t="str">
        <f t="shared" si="2"/>
        <v/>
      </c>
      <c r="AE35" t="str">
        <f>_xlfn.XLOOKUP(B:B,Disk_Pivot!G:G,Disk_Pivot!I:I)</f>
        <v>No</v>
      </c>
      <c r="AF35" t="str">
        <f>_xlfn.XLOOKUP(B35,Disk_Pivot!G:G,Disk_Pivot!N:N)</f>
        <v/>
      </c>
    </row>
    <row r="36" spans="1:32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e">
        <f>INDEX(Input!$D$2:$AD$500,
       MATCH(B36, Input!$J$2:$J$500, 0),
       MATCH("Disk Capacity", Input!$D$1:$AD$1, 0))</f>
        <v>#N/A</v>
      </c>
      <c r="S36" s="13" t="e">
        <f>_xlfn.LET(_xlpm.Result,INDEX(Input!$D$2:$AD$500,
       MATCH(B36, Input!$J$2:$J$500, 0),
       MATCH("Capacity", Input!$D$1:$AD$1, 0)),IF(_xlpm.Result="","",_xlpm.Result))</f>
        <v>#N/A</v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AC36">IFERROR(IF(_xlfn.XLOOKUP(B36,Input!J:J,Input!N:V)=0,"",
          _xlfn.XLOOKUP(B36,Input!J:J,Input!N:V)),"")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s="13" t="str">
        <v/>
      </c>
      <c r="AB36" s="13" t="str">
        <v/>
      </c>
      <c r="AC36" s="13" t="str">
        <v/>
      </c>
      <c r="AD36" t="str">
        <f t="shared" si="2"/>
        <v/>
      </c>
      <c r="AE36" t="str">
        <f>_xlfn.XLOOKUP(B:B,Disk_Pivot!G:G,Disk_Pivot!I:I)</f>
        <v>No</v>
      </c>
      <c r="AF36" t="str">
        <f>_xlfn.XLOOKUP(B36,Disk_Pivot!G:G,Disk_Pivot!N:N)</f>
        <v/>
      </c>
    </row>
    <row r="37" spans="1:32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e">
        <f>INDEX(Input!$D$2:$AD$500,
       MATCH(B37, Input!$J$2:$J$500, 0),
       MATCH("Disk Capacity", Input!$D$1:$AD$1, 0))</f>
        <v>#N/A</v>
      </c>
      <c r="S37" s="13" t="e">
        <f>_xlfn.LET(_xlpm.Result,INDEX(Input!$D$2:$AD$500,
       MATCH(B37, Input!$J$2:$J$500, 0),
       MATCH("Capacity", Input!$D$1:$AD$1, 0)),IF(_xlpm.Result="","",_xlpm.Result))</f>
        <v>#N/A</v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AC37">IFERROR(IF(_xlfn.XLOOKUP(B37,Input!J:J,Input!N:V)=0,"",
          _xlfn.XLOOKUP(B37,Input!J:J,Input!N:V)),"")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s="13" t="str">
        <v/>
      </c>
      <c r="AB37" s="13" t="str">
        <v/>
      </c>
      <c r="AC37" s="13" t="str">
        <v/>
      </c>
      <c r="AD37" t="str">
        <f t="shared" si="2"/>
        <v/>
      </c>
      <c r="AE37" t="str">
        <f>_xlfn.XLOOKUP(B:B,Disk_Pivot!G:G,Disk_Pivot!I:I)</f>
        <v>No</v>
      </c>
      <c r="AF37" t="str">
        <f>_xlfn.XLOOKUP(B37,Disk_Pivot!G:G,Disk_Pivot!N:N)</f>
        <v/>
      </c>
    </row>
    <row r="38" spans="1:32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e">
        <f>INDEX(Input!$D$2:$AD$500,
       MATCH(B38, Input!$J$2:$J$500, 0),
       MATCH("Disk Capacity", Input!$D$1:$AD$1, 0))</f>
        <v>#N/A</v>
      </c>
      <c r="S38" s="13" t="e">
        <f>_xlfn.LET(_xlpm.Result,INDEX(Input!$D$2:$AD$500,
       MATCH(B38, Input!$J$2:$J$500, 0),
       MATCH("Capacity", Input!$D$1:$AD$1, 0)),IF(_xlpm.Result="","",_xlpm.Result))</f>
        <v>#N/A</v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AC38">IFERROR(IF(_xlfn.XLOOKUP(B38,Input!J:J,Input!N:V)=0,"",
          _xlfn.XLOOKUP(B38,Input!J:J,Input!N:V)),"")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s="13" t="str">
        <v/>
      </c>
      <c r="AB38" s="13" t="str">
        <v/>
      </c>
      <c r="AC38" s="13" t="str">
        <v/>
      </c>
      <c r="AD38" t="str">
        <f t="shared" si="2"/>
        <v/>
      </c>
      <c r="AE38" t="str">
        <f>_xlfn.XLOOKUP(B:B,Disk_Pivot!G:G,Disk_Pivot!I:I)</f>
        <v>No</v>
      </c>
      <c r="AF38" t="str">
        <f>_xlfn.XLOOKUP(B38,Disk_Pivot!G:G,Disk_Pivot!N:N)</f>
        <v/>
      </c>
    </row>
    <row r="39" spans="1:32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e">
        <f>INDEX(Input!$D$2:$AD$500,
       MATCH(B39, Input!$J$2:$J$500, 0),
       MATCH("Disk Capacity", Input!$D$1:$AD$1, 0))</f>
        <v>#N/A</v>
      </c>
      <c r="S39" s="13" t="e">
        <f>_xlfn.LET(_xlpm.Result,INDEX(Input!$D$2:$AD$500,
       MATCH(B39, Input!$J$2:$J$500, 0),
       MATCH("Capacity", Input!$D$1:$AD$1, 0)),IF(_xlpm.Result="","",_xlpm.Result))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AC39">IFERROR(IF(_xlfn.XLOOKUP(B39,Input!J:J,Input!N:V)=0,"",
          _xlfn.XLOOKUP(B39,Input!J:J,Input!N:V)),"")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s="13" t="str">
        <v/>
      </c>
      <c r="AB39" s="13" t="str">
        <v/>
      </c>
      <c r="AC39" s="13" t="str">
        <v/>
      </c>
      <c r="AD39" t="str">
        <f t="shared" si="2"/>
        <v/>
      </c>
      <c r="AE39" t="str">
        <f>_xlfn.XLOOKUP(B:B,Disk_Pivot!G:G,Disk_Pivot!I:I)</f>
        <v>No</v>
      </c>
      <c r="AF39" t="str">
        <f>_xlfn.XLOOKUP(B39,Disk_Pivot!G:G,Disk_Pivot!N:N)</f>
        <v/>
      </c>
    </row>
    <row r="40" spans="1:32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e">
        <f>INDEX(Input!$D$2:$AD$500,
       MATCH(B40, Input!$J$2:$J$500, 0),
       MATCH("Disk Capacity", Input!$D$1:$AD$1, 0))</f>
        <v>#N/A</v>
      </c>
      <c r="S40" s="13" t="e">
        <f>_xlfn.LET(_xlpm.Result,INDEX(Input!$D$2:$AD$500,
       MATCH(B40, Input!$J$2:$J$500, 0),
       MATCH("Capacity", Input!$D$1:$AD$1, 0)),IF(_xlpm.Result="","",_xlpm.Result))</f>
        <v>#N/A</v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AC40">IFERROR(IF(_xlfn.XLOOKUP(B40,Input!J:J,Input!N:V)=0,"",
          _xlfn.XLOOKUP(B40,Input!J:J,Input!N:V)),"")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s="13" t="str">
        <v/>
      </c>
      <c r="AB40" s="13" t="str">
        <v/>
      </c>
      <c r="AC40" s="13" t="str">
        <v/>
      </c>
      <c r="AD40" t="str">
        <f t="shared" si="2"/>
        <v/>
      </c>
      <c r="AE40" t="str">
        <f>_xlfn.XLOOKUP(B:B,Disk_Pivot!G:G,Disk_Pivot!I:I)</f>
        <v>No</v>
      </c>
      <c r="AF40" t="str">
        <f>_xlfn.XLOOKUP(B40,Disk_Pivot!G:G,Disk_Pivot!N:N)</f>
        <v/>
      </c>
    </row>
    <row r="41" spans="1:32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e">
        <f>INDEX(Input!$D$2:$AD$500,
       MATCH(B41, Input!$J$2:$J$500, 0),
       MATCH("Disk Capacity", Input!$D$1:$AD$1, 0))</f>
        <v>#N/A</v>
      </c>
      <c r="S41" s="13" t="e">
        <f>_xlfn.LET(_xlpm.Result,INDEX(Input!$D$2:$AD$500,
       MATCH(B41, Input!$J$2:$J$500, 0),
       MATCH("Capacity", Input!$D$1:$AD$1, 0)),IF(_xlpm.Result="","",_xlpm.Result))</f>
        <v>#N/A</v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AC41">IFERROR(IF(_xlfn.XLOOKUP(B41,Input!J:J,Input!N:V)=0,"",
          _xlfn.XLOOKUP(B41,Input!J:J,Input!N:V)),"")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s="13" t="str">
        <v/>
      </c>
      <c r="AB41" s="13" t="str">
        <v/>
      </c>
      <c r="AC41" s="13" t="str">
        <v/>
      </c>
      <c r="AD41" t="str">
        <f t="shared" si="2"/>
        <v/>
      </c>
      <c r="AE41" t="str">
        <f>_xlfn.XLOOKUP(B:B,Disk_Pivot!G:G,Disk_Pivot!I:I)</f>
        <v>No</v>
      </c>
      <c r="AF41" t="str">
        <f>_xlfn.XLOOKUP(B41,Disk_Pivot!G:G,Disk_Pivot!N:N)</f>
        <v/>
      </c>
    </row>
    <row r="42" spans="1:32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e">
        <f>INDEX(Input!$D$2:$AD$500,
       MATCH(B42, Input!$J$2:$J$500, 0),
       MATCH("Disk Capacity", Input!$D$1:$AD$1, 0))</f>
        <v>#N/A</v>
      </c>
      <c r="S42" s="13" t="e">
        <f>_xlfn.LET(_xlpm.Result,INDEX(Input!$D$2:$AD$500,
       MATCH(B42, Input!$J$2:$J$500, 0),
       MATCH("Capacity", Input!$D$1:$AD$1, 0)),IF(_xlpm.Result="","",_xlpm.Result))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AC42">IFERROR(IF(_xlfn.XLOOKUP(B42,Input!J:J,Input!N:V)=0,"",
          _xlfn.XLOOKUP(B42,Input!J:J,Input!N:V)),"")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s="13" t="str">
        <v/>
      </c>
      <c r="AB42" s="13" t="str">
        <v/>
      </c>
      <c r="AC42" s="13" t="str">
        <v/>
      </c>
      <c r="AD42" t="str">
        <f t="shared" si="2"/>
        <v/>
      </c>
      <c r="AE42" t="str">
        <f>_xlfn.XLOOKUP(B:B,Disk_Pivot!G:G,Disk_Pivot!I:I)</f>
        <v>No</v>
      </c>
      <c r="AF42" t="str">
        <f>_xlfn.XLOOKUP(B42,Disk_Pivot!G:G,Disk_Pivot!N:N)</f>
        <v/>
      </c>
    </row>
    <row r="43" spans="1:32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e">
        <f>INDEX(Input!$D$2:$AD$500,
       MATCH(B43, Input!$J$2:$J$500, 0),
       MATCH("Disk Capacity", Input!$D$1:$AD$1, 0))</f>
        <v>#N/A</v>
      </c>
      <c r="S43" s="13" t="e">
        <f>_xlfn.LET(_xlpm.Result,INDEX(Input!$D$2:$AD$500,
       MATCH(B43, Input!$J$2:$J$500, 0),
       MATCH("Capacity", Input!$D$1:$AD$1, 0)),IF(_xlpm.Result="","",_xlpm.Result))</f>
        <v>#N/A</v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AC43">IFERROR(IF(_xlfn.XLOOKUP(B43,Input!J:J,Input!N:V)=0,"",
          _xlfn.XLOOKUP(B43,Input!J:J,Input!N:V)),"")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s="13" t="str">
        <v/>
      </c>
      <c r="AB43" s="13" t="str">
        <v/>
      </c>
      <c r="AC43" s="13" t="str">
        <v/>
      </c>
      <c r="AD43" t="str">
        <f t="shared" si="2"/>
        <v/>
      </c>
      <c r="AE43" t="str">
        <f>_xlfn.XLOOKUP(B:B,Disk_Pivot!G:G,Disk_Pivot!I:I)</f>
        <v>No</v>
      </c>
      <c r="AF43" t="str">
        <f>_xlfn.XLOOKUP(B43,Disk_Pivot!G:G,Disk_Pivot!N:N)</f>
        <v/>
      </c>
    </row>
    <row r="44" spans="1:32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e">
        <f>INDEX(Input!$D$2:$AD$500,
       MATCH(B44, Input!$J$2:$J$500, 0),
       MATCH("Disk Capacity", Input!$D$1:$AD$1, 0))</f>
        <v>#N/A</v>
      </c>
      <c r="S44" s="13" t="e">
        <f>_xlfn.LET(_xlpm.Result,INDEX(Input!$D$2:$AD$500,
       MATCH(B44, Input!$J$2:$J$500, 0),
       MATCH("Capacity", Input!$D$1:$AD$1, 0)),IF(_xlpm.Result="","",_xlpm.Result))</f>
        <v>#N/A</v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AC44">IFERROR(IF(_xlfn.XLOOKUP(B44,Input!J:J,Input!N:V)=0,"",
          _xlfn.XLOOKUP(B44,Input!J:J,Input!N:V)),"")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s="13" t="str">
        <v/>
      </c>
      <c r="AB44" s="13" t="str">
        <v/>
      </c>
      <c r="AC44" s="13" t="str">
        <v/>
      </c>
      <c r="AD44" t="str">
        <f t="shared" si="2"/>
        <v/>
      </c>
      <c r="AE44" t="str">
        <f>_xlfn.XLOOKUP(B:B,Disk_Pivot!G:G,Disk_Pivot!I:I)</f>
        <v>No</v>
      </c>
      <c r="AF44" t="str">
        <f>_xlfn.XLOOKUP(B44,Disk_Pivot!G:G,Disk_Pivot!N:N)</f>
        <v/>
      </c>
    </row>
    <row r="45" spans="1:32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e">
        <f>INDEX(Input!$D$2:$AD$500,
       MATCH(B45, Input!$J$2:$J$500, 0),
       MATCH("Disk Capacity", Input!$D$1:$AD$1, 0))</f>
        <v>#N/A</v>
      </c>
      <c r="S45" s="13" t="e">
        <f>_xlfn.LET(_xlpm.Result,INDEX(Input!$D$2:$AD$500,
       MATCH(B45, Input!$J$2:$J$500, 0),
       MATCH("Capacity", Input!$D$1:$AD$1, 0)),IF(_xlpm.Result="","",_xlpm.Result))</f>
        <v>#N/A</v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AC45">IFERROR(IF(_xlfn.XLOOKUP(B45,Input!J:J,Input!N:V)=0,"",
          _xlfn.XLOOKUP(B45,Input!J:J,Input!N:V)),"")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s="13" t="str">
        <v/>
      </c>
      <c r="AB45" s="13" t="str">
        <v/>
      </c>
      <c r="AC45" s="13" t="str">
        <v/>
      </c>
      <c r="AD45" t="str">
        <f t="shared" si="2"/>
        <v/>
      </c>
      <c r="AE45" t="str">
        <f>_xlfn.XLOOKUP(B:B,Disk_Pivot!G:G,Disk_Pivot!I:I)</f>
        <v>No</v>
      </c>
      <c r="AF45" t="str">
        <f>_xlfn.XLOOKUP(B45,Disk_Pivot!G:G,Disk_Pivot!N:N)</f>
        <v/>
      </c>
    </row>
    <row r="46" spans="1:32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e">
        <f>INDEX(Input!$D$2:$AD$500,
       MATCH(B46, Input!$J$2:$J$500, 0),
       MATCH("Disk Capacity", Input!$D$1:$AD$1, 0))</f>
        <v>#N/A</v>
      </c>
      <c r="S46" s="13" t="e">
        <f>_xlfn.LET(_xlpm.Result,INDEX(Input!$D$2:$AD$500,
       MATCH(B46, Input!$J$2:$J$500, 0),
       MATCH("Capacity", Input!$D$1:$AD$1, 0)),IF(_xlpm.Result="","",_xlpm.Result))</f>
        <v>#N/A</v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AC46">IFERROR(IF(_xlfn.XLOOKUP(B46,Input!J:J,Input!N:V)=0,"",
          _xlfn.XLOOKUP(B46,Input!J:J,Input!N:V)),"")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s="13" t="str">
        <v/>
      </c>
      <c r="AB46" s="13" t="str">
        <v/>
      </c>
      <c r="AC46" s="13" t="str">
        <v/>
      </c>
      <c r="AD46" t="str">
        <f t="shared" si="2"/>
        <v/>
      </c>
      <c r="AE46" t="str">
        <f>_xlfn.XLOOKUP(B:B,Disk_Pivot!G:G,Disk_Pivot!I:I)</f>
        <v>No</v>
      </c>
      <c r="AF46" t="str">
        <f>_xlfn.XLOOKUP(B46,Disk_Pivot!G:G,Disk_Pivot!N:N)</f>
        <v/>
      </c>
    </row>
    <row r="47" spans="1:32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e">
        <f>INDEX(Input!$D$2:$AD$500,
       MATCH(B47, Input!$J$2:$J$500, 0),
       MATCH("Disk Capacity", Input!$D$1:$AD$1, 0))</f>
        <v>#N/A</v>
      </c>
      <c r="S47" s="13" t="str">
        <f>_xlfn.LET(_xlpm.Result,_xlfn.XLOOKUP(B47,Input!J:J,Input!AD:AD),IF(_xlpm.Result="","",_xlpm.Result))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AC47">IFERROR(IF(_xlfn.XLOOKUP(B47,Input!J:J,Input!N:V)=0,"",
          _xlfn.XLOOKUP(B47,Input!J:J,Input!N:V)),"")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s="13" t="str">
        <v/>
      </c>
      <c r="AB47" s="13" t="str">
        <v/>
      </c>
      <c r="AC47" s="13" t="str">
        <v/>
      </c>
      <c r="AD47" t="str">
        <f t="shared" si="2"/>
        <v/>
      </c>
      <c r="AE47" t="str">
        <f>_xlfn.XLOOKUP(B:B,Disk_Pivot!G:G,Disk_Pivot!I:I)</f>
        <v>No</v>
      </c>
      <c r="AF47" t="str">
        <f>_xlfn.XLOOKUP(B47,Disk_Pivot!G:G,Disk_Pivot!N:N)</f>
        <v/>
      </c>
    </row>
    <row r="48" spans="1:32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e">
        <f>INDEX(Input!$D$2:$AD$500,
       MATCH(B48, Input!$J$2:$J$500, 0),
       MATCH("Disk Capacity", Input!$D$1:$AD$1, 0))</f>
        <v>#N/A</v>
      </c>
      <c r="S48" s="13" t="str">
        <f>_xlfn.LET(_xlpm.Result,_xlfn.XLOOKUP(B48,Input!J:J,Input!AD:AD),IF(_xlpm.Result="","",_xlpm.Result))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AC48">IFERROR(IF(_xlfn.XLOOKUP(B48,Input!J:J,Input!N:V)=0,"",
          _xlfn.XLOOKUP(B48,Input!J:J,Input!N:V)),"")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s="13" t="str">
        <v/>
      </c>
      <c r="AB48" s="13" t="str">
        <v/>
      </c>
      <c r="AC48" s="13" t="str">
        <v/>
      </c>
      <c r="AD48" t="str">
        <f t="shared" si="2"/>
        <v/>
      </c>
      <c r="AE48" t="str">
        <f>_xlfn.XLOOKUP(B:B,Disk_Pivot!G:G,Disk_Pivot!I:I)</f>
        <v>No</v>
      </c>
      <c r="AF48" t="str">
        <f>_xlfn.XLOOKUP(B48,Disk_Pivot!G:G,Disk_Pivot!N:N)</f>
        <v/>
      </c>
    </row>
    <row r="49" spans="1:32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e">
        <f>INDEX(Input!$D$2:$AD$500,
       MATCH(B49, Input!$J$2:$J$500, 0),
       MATCH("Disk Capacity", Input!$D$1:$AD$1, 0))</f>
        <v>#N/A</v>
      </c>
      <c r="S49" s="13" t="str">
        <f>_xlfn.LET(_xlpm.Result,_xlfn.XLOOKUP(B49,Input!J:J,Input!AD:AD),IF(_xlpm.Result="","",_xlpm.Result))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AC49">IFERROR(IF(_xlfn.XLOOKUP(B49,Input!J:J,Input!N:V)=0,"",
          _xlfn.XLOOKUP(B49,Input!J:J,Input!N:V)),"")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s="13" t="str">
        <v/>
      </c>
      <c r="AB49" s="13" t="str">
        <v/>
      </c>
      <c r="AC49" s="13" t="str">
        <v/>
      </c>
      <c r="AD49" t="str">
        <f t="shared" si="2"/>
        <v/>
      </c>
      <c r="AE49" t="str">
        <f>_xlfn.XLOOKUP(B:B,Disk_Pivot!G:G,Disk_Pivot!I:I)</f>
        <v>No</v>
      </c>
      <c r="AF49" t="str">
        <f>_xlfn.XLOOKUP(B49,Disk_Pivot!G:G,Disk_Pivot!N:N)</f>
        <v/>
      </c>
    </row>
    <row r="50" spans="1:32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e">
        <f>INDEX(Input!$D$2:$AD$500,
       MATCH(B50, Input!$J$2:$J$500, 0),
       MATCH("Disk Capacity", Input!$D$1:$AD$1, 0))</f>
        <v>#N/A</v>
      </c>
      <c r="S50" s="13" t="str">
        <f>_xlfn.LET(_xlpm.Result,_xlfn.XLOOKUP(B50,Input!J:J,Input!AD:AD),IF(_xlpm.Result="","",_xlpm.Result))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AC50">IFERROR(IF(_xlfn.XLOOKUP(B50,Input!J:J,Input!N:V)=0,"",
          _xlfn.XLOOKUP(B50,Input!J:J,Input!N:V)),"")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s="13" t="str">
        <v/>
      </c>
      <c r="AB50" s="13" t="str">
        <v/>
      </c>
      <c r="AC50" s="13" t="str">
        <v/>
      </c>
      <c r="AD50" t="str">
        <f t="shared" si="2"/>
        <v/>
      </c>
      <c r="AE50" t="str">
        <f>_xlfn.XLOOKUP(B:B,Disk_Pivot!G:G,Disk_Pivot!I:I)</f>
        <v>No</v>
      </c>
      <c r="AF50" t="str">
        <f>_xlfn.XLOOKUP(B50,Disk_Pivot!G:G,Disk_Pivot!N:N)</f>
        <v/>
      </c>
    </row>
    <row r="51" spans="1:32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e">
        <f>INDEX(Input!$D$2:$AD$500,
       MATCH(B51, Input!$J$2:$J$500, 0),
       MATCH("Disk Capacity", Input!$D$1:$AD$1, 0))</f>
        <v>#N/A</v>
      </c>
      <c r="S51" s="13" t="str">
        <f>_xlfn.LET(_xlpm.Result,_xlfn.XLOOKUP(B51,Input!J:J,Input!AD:AD),IF(_xlpm.Result="","",_xlpm.Result))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AC51">IFERROR(IF(_xlfn.XLOOKUP(B51,Input!J:J,Input!N:V)=0,"",
          _xlfn.XLOOKUP(B51,Input!J:J,Input!N:V)),"")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s="13" t="str">
        <v/>
      </c>
      <c r="AB51" s="13" t="str">
        <v/>
      </c>
      <c r="AC51" s="13" t="str">
        <v/>
      </c>
      <c r="AD51" t="str">
        <f t="shared" si="2"/>
        <v/>
      </c>
      <c r="AE51" t="str">
        <f>_xlfn.XLOOKUP(B:B,Disk_Pivot!G:G,Disk_Pivot!I:I)</f>
        <v>No</v>
      </c>
      <c r="AF51" t="str">
        <f>_xlfn.XLOOKUP(B51,Disk_Pivot!G:G,Disk_Pivot!N:N)</f>
        <v/>
      </c>
    </row>
    <row r="52" spans="1:32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e">
        <f>INDEX(Input!$D$2:$AD$500,
       MATCH(B52, Input!$J$2:$J$500, 0),
       MATCH("Disk Capacity", Input!$D$1:$AD$1, 0))</f>
        <v>#N/A</v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AC52">IFERROR(IF(_xlfn.XLOOKUP(B52,Input!J:J,Input!N:V)=0,"",
          _xlfn.XLOOKUP(B52,Input!J:J,Input!N:V)),"")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s="13" t="str">
        <v/>
      </c>
      <c r="AB52" s="13" t="str">
        <v/>
      </c>
      <c r="AC52" s="13" t="str">
        <v/>
      </c>
      <c r="AD52" t="str">
        <f t="shared" si="2"/>
        <v/>
      </c>
      <c r="AE52" t="str">
        <f>_xlfn.XLOOKUP(B:B,Disk_Pivot!G:G,Disk_Pivot!I:I)</f>
        <v>No</v>
      </c>
      <c r="AF52" t="str">
        <f>_xlfn.XLOOKUP(B52,Disk_Pivot!G:G,Disk_Pivot!N:N)</f>
        <v/>
      </c>
    </row>
    <row r="53" spans="1:32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e">
        <f>INDEX(Input!$D$2:$AD$500,
       MATCH(B53, Input!$J$2:$J$500, 0),
       MATCH("Disk Capacity", Input!$D$1:$AD$1, 0))</f>
        <v>#N/A</v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AC53">IFERROR(IF(_xlfn.XLOOKUP(B53,Input!J:J,Input!N:V)=0,"",
          _xlfn.XLOOKUP(B53,Input!J:J,Input!N:V)),"")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s="13" t="str">
        <v/>
      </c>
      <c r="AB53" s="13" t="str">
        <v/>
      </c>
      <c r="AC53" s="13" t="str">
        <v/>
      </c>
      <c r="AD53" t="str">
        <f t="shared" si="2"/>
        <v/>
      </c>
      <c r="AE53" t="str">
        <f>_xlfn.XLOOKUP(B:B,Disk_Pivot!G:G,Disk_Pivot!I:I)</f>
        <v>No</v>
      </c>
      <c r="AF53" t="str">
        <f>_xlfn.XLOOKUP(B53,Disk_Pivot!G:G,Disk_Pivot!N:N)</f>
        <v/>
      </c>
    </row>
    <row r="54" spans="1:32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e">
        <f>INDEX(Input!$D$2:$AD$500,
       MATCH(B54, Input!$J$2:$J$500, 0),
       MATCH("Disk Capacity", Input!$D$1:$AD$1, 0))</f>
        <v>#N/A</v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AC54">IFERROR(IF(_xlfn.XLOOKUP(B54,Input!J:J,Input!N:V)=0,"",
          _xlfn.XLOOKUP(B54,Input!J:J,Input!N:V)),"")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s="13" t="str">
        <v/>
      </c>
      <c r="AB54" s="13" t="str">
        <v/>
      </c>
      <c r="AC54" s="13" t="str">
        <v/>
      </c>
      <c r="AD54" t="str">
        <f t="shared" si="2"/>
        <v/>
      </c>
      <c r="AE54" t="str">
        <f>_xlfn.XLOOKUP(B:B,Disk_Pivot!G:G,Disk_Pivot!I:I)</f>
        <v>No</v>
      </c>
      <c r="AF54" t="str">
        <f>_xlfn.XLOOKUP(B54,Disk_Pivot!G:G,Disk_Pivot!N:N)</f>
        <v/>
      </c>
    </row>
    <row r="55" spans="1:32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e">
        <f>INDEX(Input!$D$2:$AD$500,
       MATCH(B55, Input!$J$2:$J$500, 0),
       MATCH("Disk Capacity", Input!$D$1:$AD$1, 0))</f>
        <v>#N/A</v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AC55">IFERROR(IF(_xlfn.XLOOKUP(B55,Input!J:J,Input!N:V)=0,"",
          _xlfn.XLOOKUP(B55,Input!J:J,Input!N:V)),"")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s="13" t="str">
        <v/>
      </c>
      <c r="AB55" s="13" t="str">
        <v/>
      </c>
      <c r="AC55" s="13" t="str">
        <v/>
      </c>
      <c r="AD55" t="str">
        <f t="shared" si="2"/>
        <v/>
      </c>
      <c r="AE55" t="str">
        <f>_xlfn.XLOOKUP(B:B,Disk_Pivot!G:G,Disk_Pivot!I:I)</f>
        <v>No</v>
      </c>
      <c r="AF55" t="str">
        <f>_xlfn.XLOOKUP(B55,Disk_Pivot!G:G,Disk_Pivot!N:N)</f>
        <v/>
      </c>
    </row>
    <row r="56" spans="1:32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e">
        <f>INDEX(Input!$D$2:$AD$500,
       MATCH(B56, Input!$J$2:$J$500, 0),
       MATCH("Disk Capacity", Input!$D$1:$AD$1, 0))</f>
        <v>#N/A</v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AC56">IFERROR(IF(_xlfn.XLOOKUP(B56,Input!J:J,Input!N:V)=0,"",
          _xlfn.XLOOKUP(B56,Input!J:J,Input!N:V)),"")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s="13" t="str">
        <v/>
      </c>
      <c r="AB56" s="13" t="str">
        <v/>
      </c>
      <c r="AC56" s="13" t="str">
        <v/>
      </c>
      <c r="AD56" t="str">
        <f t="shared" si="2"/>
        <v/>
      </c>
      <c r="AE56" t="str">
        <f>_xlfn.XLOOKUP(B:B,Disk_Pivot!G:G,Disk_Pivot!I:I)</f>
        <v>No</v>
      </c>
      <c r="AF56" t="str">
        <f>_xlfn.XLOOKUP(B56,Disk_Pivot!G:G,Disk_Pivot!N:N)</f>
        <v/>
      </c>
    </row>
    <row r="57" spans="1:32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e">
        <f>INDEX(Input!$D$2:$AD$500,
       MATCH(B57, Input!$J$2:$J$500, 0),
       MATCH("Disk Capacity", Input!$D$1:$AD$1, 0))</f>
        <v>#N/A</v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AC57">IFERROR(IF(_xlfn.XLOOKUP(B57,Input!J:J,Input!N:V)=0,"",
          _xlfn.XLOOKUP(B57,Input!J:J,Input!N:V)),"")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s="13" t="str">
        <v/>
      </c>
      <c r="AB57" s="13" t="str">
        <v/>
      </c>
      <c r="AC57" s="13" t="str">
        <v/>
      </c>
      <c r="AD57" t="str">
        <f t="shared" si="2"/>
        <v/>
      </c>
      <c r="AE57" t="str">
        <f>_xlfn.XLOOKUP(B:B,Disk_Pivot!G:G,Disk_Pivot!I:I)</f>
        <v>No</v>
      </c>
      <c r="AF57" t="str">
        <f>_xlfn.XLOOKUP(B57,Disk_Pivot!G:G,Disk_Pivot!N:N)</f>
        <v/>
      </c>
    </row>
    <row r="58" spans="1:32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e">
        <f>INDEX(Input!$D$2:$AD$500,
       MATCH(B58, Input!$J$2:$J$500, 0),
       MATCH("Disk Capacity", Input!$D$1:$AD$1, 0))</f>
        <v>#N/A</v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AC58">IFERROR(IF(_xlfn.XLOOKUP(B58,Input!J:J,Input!N:V)=0,"",
          _xlfn.XLOOKUP(B58,Input!J:J,Input!N:V)),"")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s="13" t="str">
        <v/>
      </c>
      <c r="AB58" s="13" t="str">
        <v/>
      </c>
      <c r="AC58" s="13" t="str">
        <v/>
      </c>
      <c r="AD58" t="str">
        <f t="shared" si="2"/>
        <v/>
      </c>
      <c r="AE58" t="str">
        <f>_xlfn.XLOOKUP(B:B,Disk_Pivot!G:G,Disk_Pivot!I:I)</f>
        <v>No</v>
      </c>
      <c r="AF58" t="str">
        <f>_xlfn.XLOOKUP(B58,Disk_Pivot!G:G,Disk_Pivot!N:N)</f>
        <v/>
      </c>
    </row>
    <row r="59" spans="1:32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e">
        <f>INDEX(Input!$D$2:$AD$500,
       MATCH(B59, Input!$J$2:$J$500, 0),
       MATCH("Disk Capacity", Input!$D$1:$AD$1, 0))</f>
        <v>#N/A</v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AC59">IFERROR(IF(_xlfn.XLOOKUP(B59,Input!J:J,Input!N:V)=0,"",
          _xlfn.XLOOKUP(B59,Input!J:J,Input!N:V)),"")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s="13" t="str">
        <v/>
      </c>
      <c r="AB59" s="13" t="str">
        <v/>
      </c>
      <c r="AC59" s="13" t="str">
        <v/>
      </c>
      <c r="AD59" t="str">
        <f t="shared" si="2"/>
        <v/>
      </c>
      <c r="AE59" t="str">
        <f>_xlfn.XLOOKUP(B:B,Disk_Pivot!G:G,Disk_Pivot!I:I)</f>
        <v>No</v>
      </c>
      <c r="AF59" t="str">
        <f>_xlfn.XLOOKUP(B59,Disk_Pivot!G:G,Disk_Pivot!N:N)</f>
        <v/>
      </c>
    </row>
    <row r="60" spans="1:32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e">
        <f>INDEX(Input!$D$2:$AD$500,
       MATCH(B60, Input!$J$2:$J$500, 0),
       MATCH("Disk Capacity", Input!$D$1:$AD$1, 0))</f>
        <v>#N/A</v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AC60">IFERROR(IF(_xlfn.XLOOKUP(B60,Input!J:J,Input!N:V)=0,"",
          _xlfn.XLOOKUP(B60,Input!J:J,Input!N:V)),"")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s="13" t="str">
        <v/>
      </c>
      <c r="AB60" s="13" t="str">
        <v/>
      </c>
      <c r="AC60" s="13" t="str">
        <v/>
      </c>
      <c r="AD60" t="str">
        <f t="shared" si="2"/>
        <v/>
      </c>
      <c r="AE60" t="str">
        <f>_xlfn.XLOOKUP(B:B,Disk_Pivot!G:G,Disk_Pivot!I:I)</f>
        <v>No</v>
      </c>
      <c r="AF60" t="str">
        <f>_xlfn.XLOOKUP(B60,Disk_Pivot!G:G,Disk_Pivot!N:N)</f>
        <v/>
      </c>
    </row>
    <row r="61" spans="1:32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e">
        <f>INDEX(Input!$D$2:$AD$500,
       MATCH(B61, Input!$J$2:$J$500, 0),
       MATCH("Disk Capacity", Input!$D$1:$AD$1, 0))</f>
        <v>#N/A</v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AC61">IFERROR(IF(_xlfn.XLOOKUP(B61,Input!J:J,Input!N:V)=0,"",
          _xlfn.XLOOKUP(B61,Input!J:J,Input!N:V)),"")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s="13" t="str">
        <v/>
      </c>
      <c r="AB61" s="13" t="str">
        <v/>
      </c>
      <c r="AC61" s="13" t="str">
        <v/>
      </c>
      <c r="AD61" t="str">
        <f t="shared" si="2"/>
        <v/>
      </c>
      <c r="AE61" t="str">
        <f>_xlfn.XLOOKUP(B:B,Disk_Pivot!G:G,Disk_Pivot!I:I)</f>
        <v>No</v>
      </c>
      <c r="AF61" t="str">
        <f>_xlfn.XLOOKUP(B61,Disk_Pivot!G:G,Disk_Pivot!N:N)</f>
        <v/>
      </c>
    </row>
    <row r="62" spans="1:32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e">
        <f>INDEX(Input!$D$2:$AD$500,
       MATCH(B62, Input!$J$2:$J$500, 0),
       MATCH("Disk Capacity", Input!$D$1:$AD$1, 0))</f>
        <v>#N/A</v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AC62">IFERROR(IF(_xlfn.XLOOKUP(B62,Input!J:J,Input!N:V)=0,"",
          _xlfn.XLOOKUP(B62,Input!J:J,Input!N:V)),"")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s="13" t="str">
        <v/>
      </c>
      <c r="AB62" s="13" t="str">
        <v/>
      </c>
      <c r="AC62" s="13" t="str">
        <v/>
      </c>
      <c r="AD62" t="str">
        <f t="shared" si="2"/>
        <v/>
      </c>
      <c r="AE62" t="str">
        <f>_xlfn.XLOOKUP(B:B,Disk_Pivot!G:G,Disk_Pivot!I:I)</f>
        <v>No</v>
      </c>
      <c r="AF62" t="str">
        <f>_xlfn.XLOOKUP(B62,Disk_Pivot!G:G,Disk_Pivot!N:N)</f>
        <v/>
      </c>
    </row>
    <row r="63" spans="1:32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e">
        <f>INDEX(Input!$D$2:$AD$500,
       MATCH(B63, Input!$J$2:$J$500, 0),
       MATCH("Disk Capacity", Input!$D$1:$AD$1, 0))</f>
        <v>#N/A</v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AC63">IFERROR(IF(_xlfn.XLOOKUP(B63,Input!J:J,Input!N:V)=0,"",
          _xlfn.XLOOKUP(B63,Input!J:J,Input!N:V)),"")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s="13" t="str">
        <v/>
      </c>
      <c r="AB63" s="13" t="str">
        <v/>
      </c>
      <c r="AC63" s="13" t="str">
        <v/>
      </c>
      <c r="AD63" t="str">
        <f t="shared" si="2"/>
        <v/>
      </c>
      <c r="AE63" t="str">
        <f>_xlfn.XLOOKUP(B:B,Disk_Pivot!G:G,Disk_Pivot!I:I)</f>
        <v>No</v>
      </c>
      <c r="AF63" t="str">
        <f>_xlfn.XLOOKUP(B63,Disk_Pivot!G:G,Disk_Pivot!N:N)</f>
        <v/>
      </c>
    </row>
    <row r="64" spans="1:32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e">
        <f>INDEX(Input!$D$2:$AD$500,
       MATCH(B64, Input!$J$2:$J$500, 0),
       MATCH("Disk Capacity", Input!$D$1:$AD$1, 0))</f>
        <v>#N/A</v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AC64">IFERROR(IF(_xlfn.XLOOKUP(B64,Input!J:J,Input!N:V)=0,"",
          _xlfn.XLOOKUP(B64,Input!J:J,Input!N:V)),"")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s="13" t="str">
        <v/>
      </c>
      <c r="AB64" s="13" t="str">
        <v/>
      </c>
      <c r="AC64" s="13" t="str">
        <v/>
      </c>
      <c r="AD64" t="str">
        <f t="shared" si="2"/>
        <v/>
      </c>
      <c r="AE64" t="str">
        <f>_xlfn.XLOOKUP(B:B,Disk_Pivot!G:G,Disk_Pivot!I:I)</f>
        <v>No</v>
      </c>
      <c r="AF64" t="str">
        <f>_xlfn.XLOOKUP(B64,Disk_Pivot!G:G,Disk_Pivot!N:N)</f>
        <v/>
      </c>
    </row>
    <row r="65" spans="1:32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e">
        <f>INDEX(Input!$D$2:$AD$500,
       MATCH(B65, Input!$J$2:$J$500, 0),
       MATCH("Disk Capacity", Input!$D$1:$AD$1, 0))</f>
        <v>#N/A</v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AC65">IFERROR(IF(_xlfn.XLOOKUP(B65,Input!J:J,Input!N:V)=0,"",
          _xlfn.XLOOKUP(B65,Input!J:J,Input!N:V)),"")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s="13" t="str">
        <v/>
      </c>
      <c r="AB65" s="13" t="str">
        <v/>
      </c>
      <c r="AC65" s="13" t="str">
        <v/>
      </c>
      <c r="AD65" t="str">
        <f t="shared" si="2"/>
        <v/>
      </c>
      <c r="AE65" t="str">
        <f>_xlfn.XLOOKUP(B:B,Disk_Pivot!G:G,Disk_Pivot!I:I)</f>
        <v>No</v>
      </c>
      <c r="AF65" t="str">
        <f>_xlfn.XLOOKUP(B65,Disk_Pivot!G:G,Disk_Pivot!N:N)</f>
        <v/>
      </c>
    </row>
    <row r="66" spans="1:32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e">
        <f>INDEX(Input!$D$2:$AD$500,
       MATCH(B66, Input!$J$2:$J$500, 0),
       MATCH("Disk Capacity", Input!$D$1:$AD$1, 0))</f>
        <v>#N/A</v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AC66">IFERROR(IF(_xlfn.XLOOKUP(B66,Input!J:J,Input!N:V)=0,"",
          _xlfn.XLOOKUP(B66,Input!J:J,Input!N:V)),"")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s="13" t="str">
        <v/>
      </c>
      <c r="AB66" s="13" t="str">
        <v/>
      </c>
      <c r="AC66" s="13" t="str">
        <v/>
      </c>
      <c r="AD66" t="str">
        <f t="shared" si="2"/>
        <v/>
      </c>
      <c r="AE66" t="str">
        <f>_xlfn.XLOOKUP(B:B,Disk_Pivot!G:G,Disk_Pivot!I:I)</f>
        <v>No</v>
      </c>
      <c r="AF66" t="str">
        <f>_xlfn.XLOOKUP(B66,Disk_Pivot!G:G,Disk_Pivot!N:N)</f>
        <v/>
      </c>
    </row>
    <row r="67" spans="1:32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e">
        <f>INDEX(Input!$D$2:$AD$500,
       MATCH(B67, Input!$J$2:$J$500, 0),
       MATCH("Disk Capacity", Input!$D$1:$AD$1, 0))</f>
        <v>#N/A</v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AC67">IFERROR(IF(_xlfn.XLOOKUP(B67,Input!J:J,Input!N:V)=0,"",
          _xlfn.XLOOKUP(B67,Input!J:J,Input!N:V)),"")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s="13" t="str">
        <v/>
      </c>
      <c r="AB67" s="13" t="str">
        <v/>
      </c>
      <c r="AC67" s="13" t="str">
        <v/>
      </c>
      <c r="AD67" t="str">
        <f t="shared" ref="AD67:AD130" si="5">_xlfn.TEXTJOIN(", ",TRUE,T67,U67,V67,W67,X67,Y67,Z67)</f>
        <v/>
      </c>
      <c r="AE67" t="str">
        <f>_xlfn.XLOOKUP(B:B,Disk_Pivot!G:G,Disk_Pivot!I:I)</f>
        <v>No</v>
      </c>
      <c r="AF67" t="str">
        <f>_xlfn.XLOOKUP(B67,Disk_Pivot!G:G,Disk_Pivot!N:N)</f>
        <v/>
      </c>
    </row>
    <row r="68" spans="1:32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e">
        <f>INDEX(Input!$D$2:$AD$500,
       MATCH(B68, Input!$J$2:$J$500, 0),
       MATCH("Disk Capacity", Input!$D$1:$AD$1, 0))</f>
        <v>#N/A</v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AC68">IFERROR(IF(_xlfn.XLOOKUP(B68,Input!J:J,Input!N:V)=0,"",
          _xlfn.XLOOKUP(B68,Input!J:J,Input!N:V)),"")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s="13" t="str">
        <v/>
      </c>
      <c r="AB68" s="13" t="str">
        <v/>
      </c>
      <c r="AC68" s="13" t="str">
        <v/>
      </c>
      <c r="AD68" t="str">
        <f t="shared" si="5"/>
        <v/>
      </c>
      <c r="AE68" t="str">
        <f>_xlfn.XLOOKUP(B:B,Disk_Pivot!G:G,Disk_Pivot!I:I)</f>
        <v>No</v>
      </c>
      <c r="AF68" t="str">
        <f>_xlfn.XLOOKUP(B68,Disk_Pivot!G:G,Disk_Pivot!N:N)</f>
        <v/>
      </c>
    </row>
    <row r="69" spans="1:32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e">
        <f>INDEX(Input!$D$2:$AD$500,
       MATCH(B69, Input!$J$2:$J$500, 0),
       MATCH("Disk Capacity", Input!$D$1:$AD$1, 0))</f>
        <v>#N/A</v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AC69">IFERROR(IF(_xlfn.XLOOKUP(B69,Input!J:J,Input!N:V)=0,"",
          _xlfn.XLOOKUP(B69,Input!J:J,Input!N:V)),"")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s="13" t="str">
        <v/>
      </c>
      <c r="AB69" s="13" t="str">
        <v/>
      </c>
      <c r="AC69" s="13" t="str">
        <v/>
      </c>
      <c r="AD69" t="str">
        <f t="shared" si="5"/>
        <v/>
      </c>
      <c r="AE69" t="str">
        <f>_xlfn.XLOOKUP(B:B,Disk_Pivot!G:G,Disk_Pivot!I:I)</f>
        <v>No</v>
      </c>
      <c r="AF69" t="str">
        <f>_xlfn.XLOOKUP(B69,Disk_Pivot!G:G,Disk_Pivot!N:N)</f>
        <v/>
      </c>
    </row>
    <row r="70" spans="1:32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e">
        <f>INDEX(Input!$D$2:$AD$500,
       MATCH(B70, Input!$J$2:$J$500, 0),
       MATCH("Disk Capacity", Input!$D$1:$AD$1, 0))</f>
        <v>#N/A</v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AC70">IFERROR(IF(_xlfn.XLOOKUP(B70,Input!J:J,Input!N:V)=0,"",
          _xlfn.XLOOKUP(B70,Input!J:J,Input!N:V)),"")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s="13" t="str">
        <v/>
      </c>
      <c r="AB70" s="13" t="str">
        <v/>
      </c>
      <c r="AC70" s="13" t="str">
        <v/>
      </c>
      <c r="AD70" t="str">
        <f t="shared" si="5"/>
        <v/>
      </c>
      <c r="AE70" t="str">
        <f>_xlfn.XLOOKUP(B:B,Disk_Pivot!G:G,Disk_Pivot!I:I)</f>
        <v>No</v>
      </c>
      <c r="AF70" t="str">
        <f>_xlfn.XLOOKUP(B70,Disk_Pivot!G:G,Disk_Pivot!N:N)</f>
        <v/>
      </c>
    </row>
    <row r="71" spans="1:32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e">
        <f>INDEX(Input!$D$2:$AD$500,
       MATCH(B71, Input!$J$2:$J$500, 0),
       MATCH("Disk Capacity", Input!$D$1:$AD$1, 0))</f>
        <v>#N/A</v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AC71">IFERROR(IF(_xlfn.XLOOKUP(B71,Input!J:J,Input!N:V)=0,"",
          _xlfn.XLOOKUP(B71,Input!J:J,Input!N:V)),"")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s="13" t="str">
        <v/>
      </c>
      <c r="AB71" s="13" t="str">
        <v/>
      </c>
      <c r="AC71" s="13" t="str">
        <v/>
      </c>
      <c r="AD71" t="str">
        <f t="shared" si="5"/>
        <v/>
      </c>
      <c r="AE71" t="str">
        <f>_xlfn.XLOOKUP(B:B,Disk_Pivot!G:G,Disk_Pivot!I:I)</f>
        <v>No</v>
      </c>
      <c r="AF71" t="str">
        <f>_xlfn.XLOOKUP(B71,Disk_Pivot!G:G,Disk_Pivot!N:N)</f>
        <v/>
      </c>
    </row>
    <row r="72" spans="1:32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e">
        <f>INDEX(Input!$D$2:$AD$500,
       MATCH(B72, Input!$J$2:$J$500, 0),
       MATCH("Disk Capacity", Input!$D$1:$AD$1, 0))</f>
        <v>#N/A</v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AC72">IFERROR(IF(_xlfn.XLOOKUP(B72,Input!J:J,Input!N:V)=0,"",
          _xlfn.XLOOKUP(B72,Input!J:J,Input!N:V)),"")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s="13" t="str">
        <v/>
      </c>
      <c r="AB72" s="13" t="str">
        <v/>
      </c>
      <c r="AC72" s="13" t="str">
        <v/>
      </c>
      <c r="AD72" t="str">
        <f t="shared" si="5"/>
        <v/>
      </c>
      <c r="AE72" t="str">
        <f>_xlfn.XLOOKUP(B:B,Disk_Pivot!G:G,Disk_Pivot!I:I)</f>
        <v>No</v>
      </c>
      <c r="AF72" t="str">
        <f>_xlfn.XLOOKUP(B72,Disk_Pivot!G:G,Disk_Pivot!N:N)</f>
        <v/>
      </c>
    </row>
    <row r="73" spans="1:32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e">
        <f>INDEX(Input!$D$2:$AD$500,
       MATCH(B73, Input!$J$2:$J$500, 0),
       MATCH("Disk Capacity", Input!$D$1:$AD$1, 0))</f>
        <v>#N/A</v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AC73">IFERROR(IF(_xlfn.XLOOKUP(B73,Input!J:J,Input!N:V)=0,"",
          _xlfn.XLOOKUP(B73,Input!J:J,Input!N:V)),"")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s="13" t="str">
        <v/>
      </c>
      <c r="AB73" s="13" t="str">
        <v/>
      </c>
      <c r="AC73" s="13" t="str">
        <v/>
      </c>
      <c r="AD73" t="str">
        <f t="shared" si="5"/>
        <v/>
      </c>
      <c r="AE73" t="str">
        <f>_xlfn.XLOOKUP(B:B,Disk_Pivot!G:G,Disk_Pivot!I:I)</f>
        <v>No</v>
      </c>
      <c r="AF73" t="str">
        <f>_xlfn.XLOOKUP(B73,Disk_Pivot!G:G,Disk_Pivot!N:N)</f>
        <v/>
      </c>
    </row>
    <row r="74" spans="1:32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e">
        <f>INDEX(Input!$D$2:$AD$500,
       MATCH(B74, Input!$J$2:$J$500, 0),
       MATCH("Disk Capacity", Input!$D$1:$AD$1, 0))</f>
        <v>#N/A</v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AC74">IFERROR(IF(_xlfn.XLOOKUP(B74,Input!J:J,Input!N:V)=0,"",
          _xlfn.XLOOKUP(B74,Input!J:J,Input!N:V)),"")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s="13" t="str">
        <v/>
      </c>
      <c r="AB74" s="13" t="str">
        <v/>
      </c>
      <c r="AC74" s="13" t="str">
        <v/>
      </c>
      <c r="AD74" t="str">
        <f t="shared" si="5"/>
        <v/>
      </c>
      <c r="AE74" t="str">
        <f>_xlfn.XLOOKUP(B:B,Disk_Pivot!G:G,Disk_Pivot!I:I)</f>
        <v>No</v>
      </c>
      <c r="AF74" t="str">
        <f>_xlfn.XLOOKUP(B74,Disk_Pivot!G:G,Disk_Pivot!N:N)</f>
        <v/>
      </c>
    </row>
    <row r="75" spans="1:32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e">
        <f>INDEX(Input!$D$2:$AD$500,
       MATCH(B75, Input!$J$2:$J$500, 0),
       MATCH("Disk Capacity", Input!$D$1:$AD$1, 0))</f>
        <v>#N/A</v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AC75">IFERROR(IF(_xlfn.XLOOKUP(B75,Input!J:J,Input!N:V)=0,"",
          _xlfn.XLOOKUP(B75,Input!J:J,Input!N:V)),"")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s="13" t="str">
        <v/>
      </c>
      <c r="AB75" s="13" t="str">
        <v/>
      </c>
      <c r="AC75" s="13" t="str">
        <v/>
      </c>
      <c r="AD75" t="str">
        <f t="shared" si="5"/>
        <v/>
      </c>
      <c r="AE75" t="str">
        <f>_xlfn.XLOOKUP(B:B,Disk_Pivot!G:G,Disk_Pivot!I:I)</f>
        <v>No</v>
      </c>
      <c r="AF75" t="str">
        <f>_xlfn.XLOOKUP(B75,Disk_Pivot!G:G,Disk_Pivot!N:N)</f>
        <v/>
      </c>
    </row>
    <row r="76" spans="1:32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e">
        <f>INDEX(Input!$D$2:$AD$500,
       MATCH(B76, Input!$J$2:$J$500, 0),
       MATCH("Disk Capacity", Input!$D$1:$AD$1, 0))</f>
        <v>#N/A</v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AC76">IFERROR(IF(_xlfn.XLOOKUP(B76,Input!J:J,Input!N:V)=0,"",
          _xlfn.XLOOKUP(B76,Input!J:J,Input!N:V)),"")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s="13" t="str">
        <v/>
      </c>
      <c r="AB76" s="13" t="str">
        <v/>
      </c>
      <c r="AC76" s="13" t="str">
        <v/>
      </c>
      <c r="AD76" t="str">
        <f t="shared" si="5"/>
        <v/>
      </c>
      <c r="AE76" t="str">
        <f>_xlfn.XLOOKUP(B:B,Disk_Pivot!G:G,Disk_Pivot!I:I)</f>
        <v>No</v>
      </c>
      <c r="AF76" t="str">
        <f>_xlfn.XLOOKUP(B76,Disk_Pivot!G:G,Disk_Pivot!N:N)</f>
        <v/>
      </c>
    </row>
    <row r="77" spans="1:32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e">
        <f>INDEX(Input!$D$2:$AD$500,
       MATCH(B77, Input!$J$2:$J$500, 0),
       MATCH("Disk Capacity", Input!$D$1:$AD$1, 0))</f>
        <v>#N/A</v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AC77">IFERROR(IF(_xlfn.XLOOKUP(B77,Input!J:J,Input!N:V)=0,"",
          _xlfn.XLOOKUP(B77,Input!J:J,Input!N:V)),"")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s="13" t="str">
        <v/>
      </c>
      <c r="AB77" s="13" t="str">
        <v/>
      </c>
      <c r="AC77" s="13" t="str">
        <v/>
      </c>
      <c r="AD77" t="str">
        <f t="shared" si="5"/>
        <v/>
      </c>
      <c r="AE77" t="str">
        <f>_xlfn.XLOOKUP(B:B,Disk_Pivot!G:G,Disk_Pivot!I:I)</f>
        <v>No</v>
      </c>
      <c r="AF77" t="str">
        <f>_xlfn.XLOOKUP(B77,Disk_Pivot!G:G,Disk_Pivot!N:N)</f>
        <v/>
      </c>
    </row>
    <row r="78" spans="1:32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e">
        <f>INDEX(Input!$D$2:$AD$500,
       MATCH(B78, Input!$J$2:$J$500, 0),
       MATCH("Disk Capacity", Input!$D$1:$AD$1, 0))</f>
        <v>#N/A</v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AC78">IFERROR(IF(_xlfn.XLOOKUP(B78,Input!J:J,Input!N:V)=0,"",
          _xlfn.XLOOKUP(B78,Input!J:J,Input!N:V)),"")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s="13" t="str">
        <v/>
      </c>
      <c r="AB78" s="13" t="str">
        <v/>
      </c>
      <c r="AC78" s="13" t="str">
        <v/>
      </c>
      <c r="AD78" t="str">
        <f t="shared" si="5"/>
        <v/>
      </c>
      <c r="AE78" t="str">
        <f>_xlfn.XLOOKUP(B:B,Disk_Pivot!G:G,Disk_Pivot!I:I)</f>
        <v>No</v>
      </c>
      <c r="AF78" t="str">
        <f>_xlfn.XLOOKUP(B78,Disk_Pivot!G:G,Disk_Pivot!N:N)</f>
        <v/>
      </c>
    </row>
    <row r="79" spans="1:32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e">
        <f>INDEX(Input!$D$2:$AD$500,
       MATCH(B79, Input!$J$2:$J$500, 0),
       MATCH("Disk Capacity", Input!$D$1:$AD$1, 0))</f>
        <v>#N/A</v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AC79">IFERROR(IF(_xlfn.XLOOKUP(B79,Input!J:J,Input!N:V)=0,"",
          _xlfn.XLOOKUP(B79,Input!J:J,Input!N:V)),"")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s="13" t="str">
        <v/>
      </c>
      <c r="AB79" s="13" t="str">
        <v/>
      </c>
      <c r="AC79" s="13" t="str">
        <v/>
      </c>
      <c r="AD79" t="str">
        <f t="shared" si="5"/>
        <v/>
      </c>
      <c r="AE79" t="str">
        <f>_xlfn.XLOOKUP(B:B,Disk_Pivot!G:G,Disk_Pivot!I:I)</f>
        <v>No</v>
      </c>
      <c r="AF79" t="str">
        <f>_xlfn.XLOOKUP(B79,Disk_Pivot!G:G,Disk_Pivot!N:N)</f>
        <v/>
      </c>
    </row>
    <row r="80" spans="1:32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e">
        <f>INDEX(Input!$D$2:$AD$500,
       MATCH(B80, Input!$J$2:$J$500, 0),
       MATCH("Disk Capacity", Input!$D$1:$AD$1, 0))</f>
        <v>#N/A</v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AC80">IFERROR(IF(_xlfn.XLOOKUP(B80,Input!J:J,Input!N:V)=0,"",
          _xlfn.XLOOKUP(B80,Input!J:J,Input!N:V)),"")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s="13" t="str">
        <v/>
      </c>
      <c r="AB80" s="13" t="str">
        <v/>
      </c>
      <c r="AC80" s="13" t="str">
        <v/>
      </c>
      <c r="AD80" t="str">
        <f t="shared" si="5"/>
        <v/>
      </c>
      <c r="AE80" t="str">
        <f>_xlfn.XLOOKUP(B:B,Disk_Pivot!G:G,Disk_Pivot!I:I)</f>
        <v>No</v>
      </c>
      <c r="AF80" t="str">
        <f>_xlfn.XLOOKUP(B80,Disk_Pivot!G:G,Disk_Pivot!N:N)</f>
        <v/>
      </c>
    </row>
    <row r="81" spans="1:32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e">
        <f>INDEX(Input!$D$2:$AD$500,
       MATCH(B81, Input!$J$2:$J$500, 0),
       MATCH("Disk Capacity", Input!$D$1:$AD$1, 0))</f>
        <v>#N/A</v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AC81">IFERROR(IF(_xlfn.XLOOKUP(B81,Input!J:J,Input!N:V)=0,"",
          _xlfn.XLOOKUP(B81,Input!J:J,Input!N:V)),"")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s="13" t="str">
        <v/>
      </c>
      <c r="AB81" s="13" t="str">
        <v/>
      </c>
      <c r="AC81" s="13" t="str">
        <v/>
      </c>
      <c r="AD81" t="str">
        <f t="shared" si="5"/>
        <v/>
      </c>
      <c r="AE81" t="str">
        <f>_xlfn.XLOOKUP(B:B,Disk_Pivot!G:G,Disk_Pivot!I:I)</f>
        <v>No</v>
      </c>
      <c r="AF81" t="str">
        <f>_xlfn.XLOOKUP(B81,Disk_Pivot!G:G,Disk_Pivot!N:N)</f>
        <v/>
      </c>
    </row>
    <row r="82" spans="1:32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e">
        <f>INDEX(Input!$D$2:$AD$500,
       MATCH(B82, Input!$J$2:$J$500, 0),
       MATCH("Disk Capacity", Input!$D$1:$AD$1, 0))</f>
        <v>#N/A</v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AC82">IFERROR(IF(_xlfn.XLOOKUP(B82,Input!J:J,Input!N:V)=0,"",
          _xlfn.XLOOKUP(B82,Input!J:J,Input!N:V)),"")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s="13" t="str">
        <v/>
      </c>
      <c r="AB82" s="13" t="str">
        <v/>
      </c>
      <c r="AC82" s="13" t="str">
        <v/>
      </c>
      <c r="AD82" t="str">
        <f t="shared" si="5"/>
        <v/>
      </c>
      <c r="AE82" t="str">
        <f>_xlfn.XLOOKUP(B:B,Disk_Pivot!G:G,Disk_Pivot!I:I)</f>
        <v>No</v>
      </c>
      <c r="AF82" t="str">
        <f>_xlfn.XLOOKUP(B82,Disk_Pivot!G:G,Disk_Pivot!N:N)</f>
        <v/>
      </c>
    </row>
    <row r="83" spans="1:32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e">
        <f>INDEX(Input!$D$2:$AD$500,
       MATCH(B83, Input!$J$2:$J$500, 0),
       MATCH("Disk Capacity", Input!$D$1:$AD$1, 0))</f>
        <v>#N/A</v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AC83">IFERROR(IF(_xlfn.XLOOKUP(B83,Input!J:J,Input!N:V)=0,"",
          _xlfn.XLOOKUP(B83,Input!J:J,Input!N:V)),"")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s="13" t="str">
        <v/>
      </c>
      <c r="AB83" s="13" t="str">
        <v/>
      </c>
      <c r="AC83" s="13" t="str">
        <v/>
      </c>
      <c r="AD83" t="str">
        <f t="shared" si="5"/>
        <v/>
      </c>
      <c r="AE83" t="str">
        <f>_xlfn.XLOOKUP(B:B,Disk_Pivot!G:G,Disk_Pivot!I:I)</f>
        <v>No</v>
      </c>
      <c r="AF83" t="str">
        <f>_xlfn.XLOOKUP(B83,Disk_Pivot!G:G,Disk_Pivot!N:N)</f>
        <v/>
      </c>
    </row>
    <row r="84" spans="1:32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e">
        <f>INDEX(Input!$D$2:$AD$500,
       MATCH(B84, Input!$J$2:$J$500, 0),
       MATCH("Disk Capacity", Input!$D$1:$AD$1, 0))</f>
        <v>#N/A</v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AC84">IFERROR(IF(_xlfn.XLOOKUP(B84,Input!J:J,Input!N:V)=0,"",
          _xlfn.XLOOKUP(B84,Input!J:J,Input!N:V)),"")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s="13" t="str">
        <v/>
      </c>
      <c r="AB84" s="13" t="str">
        <v/>
      </c>
      <c r="AC84" s="13" t="str">
        <v/>
      </c>
      <c r="AD84" t="str">
        <f t="shared" si="5"/>
        <v/>
      </c>
      <c r="AE84" t="str">
        <f>_xlfn.XLOOKUP(B:B,Disk_Pivot!G:G,Disk_Pivot!I:I)</f>
        <v>No</v>
      </c>
      <c r="AF84" t="str">
        <f>_xlfn.XLOOKUP(B84,Disk_Pivot!G:G,Disk_Pivot!N:N)</f>
        <v/>
      </c>
    </row>
    <row r="85" spans="1:32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e">
        <f>INDEX(Input!$D$2:$AD$500,
       MATCH(B85, Input!$J$2:$J$500, 0),
       MATCH("Disk Capacity", Input!$D$1:$AD$1, 0))</f>
        <v>#N/A</v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AC85">IFERROR(IF(_xlfn.XLOOKUP(B85,Input!J:J,Input!N:V)=0,"",
          _xlfn.XLOOKUP(B85,Input!J:J,Input!N:V)),"")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s="13" t="str">
        <v/>
      </c>
      <c r="AB85" s="13" t="str">
        <v/>
      </c>
      <c r="AC85" s="13" t="str">
        <v/>
      </c>
      <c r="AD85" t="str">
        <f t="shared" si="5"/>
        <v/>
      </c>
      <c r="AE85" t="str">
        <f>_xlfn.XLOOKUP(B:B,Disk_Pivot!G:G,Disk_Pivot!I:I)</f>
        <v>No</v>
      </c>
      <c r="AF85" t="str">
        <f>_xlfn.XLOOKUP(B85,Disk_Pivot!G:G,Disk_Pivot!N:N)</f>
        <v/>
      </c>
    </row>
    <row r="86" spans="1:32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e">
        <f>INDEX(Input!$D$2:$AD$500,
       MATCH(B86, Input!$J$2:$J$500, 0),
       MATCH("Disk Capacity", Input!$D$1:$AD$1, 0))</f>
        <v>#N/A</v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AC86">IFERROR(IF(_xlfn.XLOOKUP(B86,Input!J:J,Input!N:V)=0,"",
          _xlfn.XLOOKUP(B86,Input!J:J,Input!N:V)),"")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s="13" t="str">
        <v/>
      </c>
      <c r="AB86" s="13" t="str">
        <v/>
      </c>
      <c r="AC86" s="13" t="str">
        <v/>
      </c>
      <c r="AD86" t="str">
        <f t="shared" si="5"/>
        <v/>
      </c>
      <c r="AE86" t="str">
        <f>_xlfn.XLOOKUP(B:B,Disk_Pivot!G:G,Disk_Pivot!I:I)</f>
        <v>No</v>
      </c>
      <c r="AF86" t="str">
        <f>_xlfn.XLOOKUP(B86,Disk_Pivot!G:G,Disk_Pivot!N:N)</f>
        <v/>
      </c>
    </row>
    <row r="87" spans="1:32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e">
        <f>INDEX(Input!$D$2:$AD$500,
       MATCH(B87, Input!$J$2:$J$500, 0),
       MATCH("Disk Capacity", Input!$D$1:$AD$1, 0))</f>
        <v>#N/A</v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AC87">IFERROR(IF(_xlfn.XLOOKUP(B87,Input!J:J,Input!N:V)=0,"",
          _xlfn.XLOOKUP(B87,Input!J:J,Input!N:V)),"")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s="13" t="str">
        <v/>
      </c>
      <c r="AB87" s="13" t="str">
        <v/>
      </c>
      <c r="AC87" s="13" t="str">
        <v/>
      </c>
      <c r="AD87" t="str">
        <f t="shared" si="5"/>
        <v/>
      </c>
      <c r="AE87" t="str">
        <f>_xlfn.XLOOKUP(B:B,Disk_Pivot!G:G,Disk_Pivot!I:I)</f>
        <v>No</v>
      </c>
      <c r="AF87" t="str">
        <f>_xlfn.XLOOKUP(B87,Disk_Pivot!G:G,Disk_Pivot!N:N)</f>
        <v/>
      </c>
    </row>
    <row r="88" spans="1:32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e">
        <f>INDEX(Input!$D$2:$AD$500,
       MATCH(B88, Input!$J$2:$J$500, 0),
       MATCH("Disk Capacity", Input!$D$1:$AD$1, 0))</f>
        <v>#N/A</v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AC88">IFERROR(IF(_xlfn.XLOOKUP(B88,Input!J:J,Input!N:V)=0,"",
          _xlfn.XLOOKUP(B88,Input!J:J,Input!N:V)),"")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s="13" t="str">
        <v/>
      </c>
      <c r="AB88" s="13" t="str">
        <v/>
      </c>
      <c r="AC88" s="13" t="str">
        <v/>
      </c>
      <c r="AD88" t="str">
        <f t="shared" si="5"/>
        <v/>
      </c>
      <c r="AE88" t="str">
        <f>_xlfn.XLOOKUP(B:B,Disk_Pivot!G:G,Disk_Pivot!I:I)</f>
        <v>No</v>
      </c>
      <c r="AF88" t="str">
        <f>_xlfn.XLOOKUP(B88,Disk_Pivot!G:G,Disk_Pivot!N:N)</f>
        <v/>
      </c>
    </row>
    <row r="89" spans="1:32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Q89" t="e">
        <f>INDEX(Input!$D$2:$AD$500,
       MATCH(B89, Input!$J$2:$J$500, 0),
       MATCH("Disk Capacity", Input!$D$1:$AD$1, 0))</f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AC89">IFERROR(IF(_xlfn.XLOOKUP(B89,Input!J:J,Input!N:V)=0,"",
          _xlfn.XLOOKUP(B89,Input!J:J,Input!N:V)),"")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s="13" t="str">
        <v/>
      </c>
      <c r="AB89" s="13" t="str">
        <v/>
      </c>
      <c r="AC89" s="13" t="str">
        <v/>
      </c>
      <c r="AD89" t="str">
        <f t="shared" si="5"/>
        <v/>
      </c>
      <c r="AE89" t="str">
        <f>_xlfn.XLOOKUP(B:B,Disk_Pivot!G:G,Disk_Pivot!I:I)</f>
        <v>No</v>
      </c>
      <c r="AF89" t="str">
        <f>_xlfn.XLOOKUP(B89,Disk_Pivot!G:G,Disk_Pivot!N:N)</f>
        <v/>
      </c>
    </row>
    <row r="90" spans="1:32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Q90" t="e">
        <f>INDEX(Input!$D$2:$AD$500,
       MATCH(B90, Input!$J$2:$J$500, 0),
       MATCH("Disk Capacity", Input!$D$1:$AD$1, 0))</f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AC90">IFERROR(IF(_xlfn.XLOOKUP(B90,Input!J:J,Input!N:V)=0,"",
          _xlfn.XLOOKUP(B90,Input!J:J,Input!N:V)),"")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s="13" t="str">
        <v/>
      </c>
      <c r="AB90" s="13" t="str">
        <v/>
      </c>
      <c r="AC90" s="13" t="str">
        <v/>
      </c>
      <c r="AD90" t="str">
        <f t="shared" si="5"/>
        <v/>
      </c>
      <c r="AE90" t="str">
        <f>_xlfn.XLOOKUP(B:B,Disk_Pivot!G:G,Disk_Pivot!I:I)</f>
        <v>No</v>
      </c>
      <c r="AF90" t="str">
        <f>_xlfn.XLOOKUP(B90,Disk_Pivot!G:G,Disk_Pivot!N:N)</f>
        <v/>
      </c>
    </row>
    <row r="91" spans="1:32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Q91" t="e">
        <f>INDEX(Input!$D$2:$AD$500,
       MATCH(B91, Input!$J$2:$J$500, 0),
       MATCH("Disk Capacity", Input!$D$1:$AD$1, 0))</f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AC91">IFERROR(IF(_xlfn.XLOOKUP(B91,Input!J:J,Input!N:V)=0,"",
          _xlfn.XLOOKUP(B91,Input!J:J,Input!N:V)),"")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s="13" t="str">
        <v/>
      </c>
      <c r="AB91" s="13" t="str">
        <v/>
      </c>
      <c r="AC91" s="13" t="str">
        <v/>
      </c>
      <c r="AD91" t="str">
        <f t="shared" si="5"/>
        <v/>
      </c>
      <c r="AE91" t="str">
        <f>_xlfn.XLOOKUP(B:B,Disk_Pivot!G:G,Disk_Pivot!I:I)</f>
        <v>No</v>
      </c>
      <c r="AF91" t="str">
        <f>_xlfn.XLOOKUP(B91,Disk_Pivot!G:G,Disk_Pivot!N:N)</f>
        <v/>
      </c>
    </row>
    <row r="92" spans="1:32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Q92" t="e">
        <f>INDEX(Input!$D$2:$AD$500,
       MATCH(B92, Input!$J$2:$J$500, 0),
       MATCH("Disk Capacity", Input!$D$1:$AD$1, 0))</f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AC92">IFERROR(IF(_xlfn.XLOOKUP(B92,Input!J:J,Input!N:V)=0,"",
          _xlfn.XLOOKUP(B92,Input!J:J,Input!N:V)),"")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s="13" t="str">
        <v/>
      </c>
      <c r="AB92" s="13" t="str">
        <v/>
      </c>
      <c r="AC92" s="13" t="str">
        <v/>
      </c>
      <c r="AD92" t="str">
        <f t="shared" si="5"/>
        <v/>
      </c>
      <c r="AE92" t="str">
        <f>_xlfn.XLOOKUP(B:B,Disk_Pivot!G:G,Disk_Pivot!I:I)</f>
        <v>No</v>
      </c>
      <c r="AF92" t="str">
        <f>_xlfn.XLOOKUP(B92,Disk_Pivot!G:G,Disk_Pivot!N:N)</f>
        <v/>
      </c>
    </row>
    <row r="93" spans="1:32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Q93" t="e">
        <f>INDEX(Input!$D$2:$AD$500,
       MATCH(B93, Input!$J$2:$J$500, 0),
       MATCH("Disk Capacity", Input!$D$1:$AD$1, 0))</f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AC93">IFERROR(IF(_xlfn.XLOOKUP(B93,Input!J:J,Input!N:V)=0,"",
          _xlfn.XLOOKUP(B93,Input!J:J,Input!N:V)),"")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s="13" t="str">
        <v/>
      </c>
      <c r="AB93" s="13" t="str">
        <v/>
      </c>
      <c r="AC93" s="13" t="str">
        <v/>
      </c>
      <c r="AD93" t="str">
        <f t="shared" si="5"/>
        <v/>
      </c>
      <c r="AE93" t="str">
        <f>_xlfn.XLOOKUP(B:B,Disk_Pivot!G:G,Disk_Pivot!I:I)</f>
        <v>No</v>
      </c>
      <c r="AF93" t="str">
        <f>_xlfn.XLOOKUP(B93,Disk_Pivot!G:G,Disk_Pivot!N:N)</f>
        <v/>
      </c>
    </row>
    <row r="94" spans="1:32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Q94" t="e">
        <f>INDEX(Input!$D$2:$AD$500,
       MATCH(B94, Input!$J$2:$J$500, 0),
       MATCH("Disk Capacity", Input!$D$1:$AD$1, 0))</f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AC94">IFERROR(IF(_xlfn.XLOOKUP(B94,Input!J:J,Input!N:V)=0,"",
          _xlfn.XLOOKUP(B94,Input!J:J,Input!N:V)),"")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s="13" t="str">
        <v/>
      </c>
      <c r="AB94" s="13" t="str">
        <v/>
      </c>
      <c r="AC94" s="13" t="str">
        <v/>
      </c>
      <c r="AD94" t="str">
        <f t="shared" si="5"/>
        <v/>
      </c>
      <c r="AE94" t="str">
        <f>_xlfn.XLOOKUP(B:B,Disk_Pivot!G:G,Disk_Pivot!I:I)</f>
        <v>No</v>
      </c>
      <c r="AF94" t="str">
        <f>_xlfn.XLOOKUP(B94,Disk_Pivot!G:G,Disk_Pivot!N:N)</f>
        <v/>
      </c>
    </row>
    <row r="95" spans="1:32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Q95" t="e">
        <f>INDEX(Input!$D$2:$AD$500,
       MATCH(B95, Input!$J$2:$J$500, 0),
       MATCH("Disk Capacity", Input!$D$1:$AD$1, 0))</f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AC95">IFERROR(IF(_xlfn.XLOOKUP(B95,Input!J:J,Input!N:V)=0,"",
          _xlfn.XLOOKUP(B95,Input!J:J,Input!N:V)),"")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s="13" t="str">
        <v/>
      </c>
      <c r="AB95" s="13" t="str">
        <v/>
      </c>
      <c r="AC95" s="13" t="str">
        <v/>
      </c>
      <c r="AD95" t="str">
        <f t="shared" si="5"/>
        <v/>
      </c>
      <c r="AE95" t="str">
        <f>_xlfn.XLOOKUP(B:B,Disk_Pivot!G:G,Disk_Pivot!I:I)</f>
        <v>No</v>
      </c>
      <c r="AF95" t="str">
        <f>_xlfn.XLOOKUP(B95,Disk_Pivot!G:G,Disk_Pivot!N:N)</f>
        <v/>
      </c>
    </row>
    <row r="96" spans="1:32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Q96" t="e">
        <f>INDEX(Input!$D$2:$AD$500,
       MATCH(B96, Input!$J$2:$J$500, 0),
       MATCH("Disk Capacity", Input!$D$1:$AD$1, 0))</f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AC96">IFERROR(IF(_xlfn.XLOOKUP(B96,Input!J:J,Input!N:V)=0,"",
          _xlfn.XLOOKUP(B96,Input!J:J,Input!N:V)),"")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s="13" t="str">
        <v/>
      </c>
      <c r="AB96" s="13" t="str">
        <v/>
      </c>
      <c r="AC96" s="13" t="str">
        <v/>
      </c>
      <c r="AD96" t="str">
        <f t="shared" si="5"/>
        <v/>
      </c>
      <c r="AE96" t="str">
        <f>_xlfn.XLOOKUP(B:B,Disk_Pivot!G:G,Disk_Pivot!I:I)</f>
        <v>No</v>
      </c>
      <c r="AF96" t="str">
        <f>_xlfn.XLOOKUP(B96,Disk_Pivot!G:G,Disk_Pivot!N:N)</f>
        <v/>
      </c>
    </row>
    <row r="97" spans="6:32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Q97" t="e">
        <f>INDEX(Input!$D$2:$AD$500,
       MATCH(B97, Input!$J$2:$J$500, 0),
       MATCH("Disk Capacity", Input!$D$1:$AD$1, 0))</f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AC97">IFERROR(IF(_xlfn.XLOOKUP(B97,Input!J:J,Input!N:V)=0,"",
          _xlfn.XLOOKUP(B97,Input!J:J,Input!N:V)),"")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s="13" t="str">
        <v/>
      </c>
      <c r="AB97" s="13" t="str">
        <v/>
      </c>
      <c r="AC97" s="13" t="str">
        <v/>
      </c>
      <c r="AD97" t="str">
        <f t="shared" si="5"/>
        <v/>
      </c>
      <c r="AE97" t="str">
        <f>_xlfn.XLOOKUP(B:B,Disk_Pivot!G:G,Disk_Pivot!I:I)</f>
        <v>No</v>
      </c>
      <c r="AF97" t="str">
        <f>_xlfn.XLOOKUP(B97,Disk_Pivot!G:G,Disk_Pivot!N:N)</f>
        <v/>
      </c>
    </row>
    <row r="98" spans="6:32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Q98" t="e">
        <f>INDEX(Input!$D$2:$AD$500,
       MATCH(B98, Input!$J$2:$J$500, 0),
       MATCH("Disk Capacity", Input!$D$1:$AD$1, 0))</f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AC98">IFERROR(IF(_xlfn.XLOOKUP(B98,Input!J:J,Input!N:V)=0,"",
          _xlfn.XLOOKUP(B98,Input!J:J,Input!N:V)),"")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s="13" t="str">
        <v/>
      </c>
      <c r="AB98" s="13" t="str">
        <v/>
      </c>
      <c r="AC98" s="13" t="str">
        <v/>
      </c>
      <c r="AD98" t="str">
        <f t="shared" si="5"/>
        <v/>
      </c>
      <c r="AE98" t="str">
        <f>_xlfn.XLOOKUP(B:B,Disk_Pivot!G:G,Disk_Pivot!I:I)</f>
        <v>No</v>
      </c>
      <c r="AF98" t="str">
        <f>_xlfn.XLOOKUP(B98,Disk_Pivot!G:G,Disk_Pivot!N:N)</f>
        <v/>
      </c>
    </row>
    <row r="99" spans="6:32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Q99" t="e">
        <f>INDEX(Input!$D$2:$AD$500,
       MATCH(B99, Input!$J$2:$J$500, 0),
       MATCH("Disk Capacity", Input!$D$1:$AD$1, 0))</f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AC99">IFERROR(IF(_xlfn.XLOOKUP(B99,Input!J:J,Input!N:V)=0,"",
          _xlfn.XLOOKUP(B99,Input!J:J,Input!N:V)),"")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s="13" t="str">
        <v/>
      </c>
      <c r="AB99" s="13" t="str">
        <v/>
      </c>
      <c r="AC99" s="13" t="str">
        <v/>
      </c>
      <c r="AD99" t="str">
        <f t="shared" si="5"/>
        <v/>
      </c>
      <c r="AE99" t="str">
        <f>_xlfn.XLOOKUP(B:B,Disk_Pivot!G:G,Disk_Pivot!I:I)</f>
        <v>No</v>
      </c>
      <c r="AF99" t="str">
        <f>_xlfn.XLOOKUP(B99,Disk_Pivot!G:G,Disk_Pivot!N:N)</f>
        <v/>
      </c>
    </row>
    <row r="100" spans="6:32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Q100" t="e">
        <f>INDEX(Input!$D$2:$AD$500,
       MATCH(B100, Input!$J$2:$J$500, 0),
       MATCH("Disk Capacity", Input!$D$1:$AD$1, 0))</f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AC100">IFERROR(IF(_xlfn.XLOOKUP(B100,Input!J:J,Input!N:V)=0,"",
          _xlfn.XLOOKUP(B100,Input!J:J,Input!N:V)),"")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s="13" t="str">
        <v/>
      </c>
      <c r="AB100" s="13" t="str">
        <v/>
      </c>
      <c r="AC100" s="13" t="str">
        <v/>
      </c>
      <c r="AD100" t="str">
        <f t="shared" si="5"/>
        <v/>
      </c>
      <c r="AE100" t="str">
        <f>_xlfn.XLOOKUP(B:B,Disk_Pivot!G:G,Disk_Pivot!I:I)</f>
        <v>No</v>
      </c>
      <c r="AF100" t="str">
        <f>_xlfn.XLOOKUP(B100,Disk_Pivot!G:G,Disk_Pivot!N:N)</f>
        <v/>
      </c>
    </row>
    <row r="101" spans="6:32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Q101" t="e">
        <f>INDEX(Input!$D$2:$AD$500,
       MATCH(B101, Input!$J$2:$J$500, 0),
       MATCH("Disk Capacity", Input!$D$1:$AD$1, 0))</f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AC101">IFERROR(IF(_xlfn.XLOOKUP(B101,Input!J:J,Input!N:V)=0,"",
          _xlfn.XLOOKUP(B101,Input!J:J,Input!N:V)),"")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s="13" t="str">
        <v/>
      </c>
      <c r="AB101" s="13" t="str">
        <v/>
      </c>
      <c r="AC101" s="13" t="str">
        <v/>
      </c>
      <c r="AD101" t="str">
        <f t="shared" si="5"/>
        <v/>
      </c>
      <c r="AE101" t="str">
        <f>_xlfn.XLOOKUP(B:B,Disk_Pivot!G:G,Disk_Pivot!I:I)</f>
        <v>No</v>
      </c>
      <c r="AF101" t="str">
        <f>_xlfn.XLOOKUP(B101,Disk_Pivot!G:G,Disk_Pivot!N:N)</f>
        <v/>
      </c>
    </row>
    <row r="102" spans="6:32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Q102" t="e">
        <f>INDEX(Input!$D$2:$AD$500,
       MATCH(B102, Input!$J$2:$J$500, 0),
       MATCH("Disk Capacity", Input!$D$1:$AD$1, 0))</f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AC102">IFERROR(IF(_xlfn.XLOOKUP(B102,Input!J:J,Input!N:V)=0,"",
          _xlfn.XLOOKUP(B102,Input!J:J,Input!N:V)),"")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s="13" t="str">
        <v/>
      </c>
      <c r="AB102" s="13" t="str">
        <v/>
      </c>
      <c r="AC102" s="13" t="str">
        <v/>
      </c>
      <c r="AD102" t="str">
        <f t="shared" si="5"/>
        <v/>
      </c>
      <c r="AE102" t="str">
        <f>_xlfn.XLOOKUP(B:B,Disk_Pivot!G:G,Disk_Pivot!I:I)</f>
        <v>No</v>
      </c>
      <c r="AF102" t="str">
        <f>_xlfn.XLOOKUP(B102,Disk_Pivot!G:G,Disk_Pivot!N:N)</f>
        <v/>
      </c>
    </row>
    <row r="103" spans="6:32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Q103" t="e">
        <f>INDEX(Input!$D$2:$AD$500,
       MATCH(B103, Input!$J$2:$J$500, 0),
       MATCH("Disk Capacity", Input!$D$1:$AD$1, 0))</f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AC103">IFERROR(IF(_xlfn.XLOOKUP(B103,Input!J:J,Input!N:V)=0,"",
          _xlfn.XLOOKUP(B103,Input!J:J,Input!N:V)),"")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s="13" t="str">
        <v/>
      </c>
      <c r="AB103" s="13" t="str">
        <v/>
      </c>
      <c r="AC103" s="13" t="str">
        <v/>
      </c>
      <c r="AD103" t="str">
        <f t="shared" si="5"/>
        <v/>
      </c>
      <c r="AE103" t="str">
        <f>_xlfn.XLOOKUP(B:B,Disk_Pivot!G:G,Disk_Pivot!I:I)</f>
        <v>No</v>
      </c>
      <c r="AF103" t="str">
        <f>_xlfn.XLOOKUP(B103,Disk_Pivot!G:G,Disk_Pivot!N:N)</f>
        <v/>
      </c>
    </row>
    <row r="104" spans="6:32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Q104" t="e">
        <f>INDEX(Input!$D$2:$AD$500,
       MATCH(B104, Input!$J$2:$J$500, 0),
       MATCH("Disk Capacity", Input!$D$1:$AD$1, 0))</f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AC104">IFERROR(IF(_xlfn.XLOOKUP(B104,Input!J:J,Input!N:V)=0,"",
          _xlfn.XLOOKUP(B104,Input!J:J,Input!N:V)),"")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s="13" t="str">
        <v/>
      </c>
      <c r="AB104" s="13" t="str">
        <v/>
      </c>
      <c r="AC104" s="13" t="str">
        <v/>
      </c>
      <c r="AD104" t="str">
        <f t="shared" si="5"/>
        <v/>
      </c>
      <c r="AE104" t="str">
        <f>_xlfn.XLOOKUP(B:B,Disk_Pivot!G:G,Disk_Pivot!I:I)</f>
        <v>No</v>
      </c>
      <c r="AF104" t="str">
        <f>_xlfn.XLOOKUP(B104,Disk_Pivot!G:G,Disk_Pivot!N:N)</f>
        <v/>
      </c>
    </row>
    <row r="105" spans="6:32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Q105" t="e">
        <f>INDEX(Input!$D$2:$AD$500,
       MATCH(B105, Input!$J$2:$J$500, 0),
       MATCH("Disk Capacity", Input!$D$1:$AD$1, 0))</f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AC105">IFERROR(IF(_xlfn.XLOOKUP(B105,Input!J:J,Input!N:V)=0,"",
          _xlfn.XLOOKUP(B105,Input!J:J,Input!N:V)),"")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s="13" t="str">
        <v/>
      </c>
      <c r="AB105" s="13" t="str">
        <v/>
      </c>
      <c r="AC105" s="13" t="str">
        <v/>
      </c>
      <c r="AD105" t="str">
        <f t="shared" si="5"/>
        <v/>
      </c>
      <c r="AE105" t="str">
        <f>_xlfn.XLOOKUP(B:B,Disk_Pivot!G:G,Disk_Pivot!I:I)</f>
        <v>No</v>
      </c>
      <c r="AF105" t="str">
        <f>_xlfn.XLOOKUP(B105,Disk_Pivot!G:G,Disk_Pivot!N:N)</f>
        <v/>
      </c>
    </row>
    <row r="106" spans="6:32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Q106" t="e">
        <f>INDEX(Input!$D$2:$AD$500,
       MATCH(B106, Input!$J$2:$J$500, 0),
       MATCH("Disk Capacity", Input!$D$1:$AD$1, 0))</f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AC106">IFERROR(IF(_xlfn.XLOOKUP(B106,Input!J:J,Input!N:V)=0,"",
          _xlfn.XLOOKUP(B106,Input!J:J,Input!N:V)),"")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s="13" t="str">
        <v/>
      </c>
      <c r="AB106" s="13" t="str">
        <v/>
      </c>
      <c r="AC106" s="13" t="str">
        <v/>
      </c>
      <c r="AD106" t="str">
        <f t="shared" si="5"/>
        <v/>
      </c>
      <c r="AE106" t="str">
        <f>_xlfn.XLOOKUP(B:B,Disk_Pivot!G:G,Disk_Pivot!I:I)</f>
        <v>No</v>
      </c>
      <c r="AF106" t="str">
        <f>_xlfn.XLOOKUP(B106,Disk_Pivot!G:G,Disk_Pivot!N:N)</f>
        <v/>
      </c>
    </row>
    <row r="107" spans="6:32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Q107" t="e">
        <f>INDEX(Input!$D$2:$AD$500,
       MATCH(B107, Input!$J$2:$J$500, 0),
       MATCH("Disk Capacity", Input!$D$1:$AD$1, 0))</f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AC107">IFERROR(IF(_xlfn.XLOOKUP(B107,Input!J:J,Input!N:V)=0,"",
          _xlfn.XLOOKUP(B107,Input!J:J,Input!N:V)),"")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s="13" t="str">
        <v/>
      </c>
      <c r="AB107" s="13" t="str">
        <v/>
      </c>
      <c r="AC107" s="13" t="str">
        <v/>
      </c>
      <c r="AD107" t="str">
        <f t="shared" si="5"/>
        <v/>
      </c>
      <c r="AE107" t="str">
        <f>_xlfn.XLOOKUP(B:B,Disk_Pivot!G:G,Disk_Pivot!I:I)</f>
        <v>No</v>
      </c>
      <c r="AF107" t="str">
        <f>_xlfn.XLOOKUP(B107,Disk_Pivot!G:G,Disk_Pivot!N:N)</f>
        <v/>
      </c>
    </row>
    <row r="108" spans="6:32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Q108" t="e">
        <f>INDEX(Input!$D$2:$AD$500,
       MATCH(B108, Input!$J$2:$J$500, 0),
       MATCH("Disk Capacity", Input!$D$1:$AD$1, 0))</f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AC108">IFERROR(IF(_xlfn.XLOOKUP(B108,Input!J:J,Input!N:V)=0,"",
          _xlfn.XLOOKUP(B108,Input!J:J,Input!N:V)),"")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s="13" t="str">
        <v/>
      </c>
      <c r="AB108" s="13" t="str">
        <v/>
      </c>
      <c r="AC108" s="13" t="str">
        <v/>
      </c>
      <c r="AD108" t="str">
        <f t="shared" si="5"/>
        <v/>
      </c>
      <c r="AE108" t="str">
        <f>_xlfn.XLOOKUP(B:B,Disk_Pivot!G:G,Disk_Pivot!I:I)</f>
        <v>No</v>
      </c>
      <c r="AF108" t="str">
        <f>_xlfn.XLOOKUP(B108,Disk_Pivot!G:G,Disk_Pivot!N:N)</f>
        <v/>
      </c>
    </row>
    <row r="109" spans="6:32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Q109" t="e">
        <f>INDEX(Input!$D$2:$AD$500,
       MATCH(B109, Input!$J$2:$J$500, 0),
       MATCH("Disk Capacity", Input!$D$1:$AD$1, 0))</f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AC109">IFERROR(IF(_xlfn.XLOOKUP(B109,Input!J:J,Input!N:V)=0,"",
          _xlfn.XLOOKUP(B109,Input!J:J,Input!N:V)),"")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s="13" t="str">
        <v/>
      </c>
      <c r="AB109" s="13" t="str">
        <v/>
      </c>
      <c r="AC109" s="13" t="str">
        <v/>
      </c>
      <c r="AD109" t="str">
        <f t="shared" si="5"/>
        <v/>
      </c>
      <c r="AE109" t="str">
        <f>_xlfn.XLOOKUP(B:B,Disk_Pivot!G:G,Disk_Pivot!I:I)</f>
        <v>No</v>
      </c>
      <c r="AF109" t="str">
        <f>_xlfn.XLOOKUP(B109,Disk_Pivot!G:G,Disk_Pivot!N:N)</f>
        <v/>
      </c>
    </row>
    <row r="110" spans="6:32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Q110" t="e">
        <f>INDEX(Input!$D$2:$AD$500,
       MATCH(B110, Input!$J$2:$J$500, 0),
       MATCH("Disk Capacity", Input!$D$1:$AD$1, 0))</f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AC110">IFERROR(IF(_xlfn.XLOOKUP(B110,Input!J:J,Input!N:V)=0,"",
          _xlfn.XLOOKUP(B110,Input!J:J,Input!N:V)),"")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s="13" t="str">
        <v/>
      </c>
      <c r="AB110" s="13" t="str">
        <v/>
      </c>
      <c r="AC110" s="13" t="str">
        <v/>
      </c>
      <c r="AD110" t="str">
        <f t="shared" si="5"/>
        <v/>
      </c>
      <c r="AE110" t="str">
        <f>_xlfn.XLOOKUP(B:B,Disk_Pivot!G:G,Disk_Pivot!I:I)</f>
        <v>No</v>
      </c>
      <c r="AF110" t="str">
        <f>_xlfn.XLOOKUP(B110,Disk_Pivot!G:G,Disk_Pivot!N:N)</f>
        <v/>
      </c>
    </row>
    <row r="111" spans="6:32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Q111" t="e">
        <f>INDEX(Input!$D$2:$AD$500,
       MATCH(B111, Input!$J$2:$J$500, 0),
       MATCH("Disk Capacity", Input!$D$1:$AD$1, 0))</f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AC111">IFERROR(IF(_xlfn.XLOOKUP(B111,Input!J:J,Input!N:V)=0,"",
          _xlfn.XLOOKUP(B111,Input!J:J,Input!N:V)),"")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s="13" t="str">
        <v/>
      </c>
      <c r="AB111" s="13" t="str">
        <v/>
      </c>
      <c r="AC111" s="13" t="str">
        <v/>
      </c>
      <c r="AD111" t="str">
        <f t="shared" si="5"/>
        <v/>
      </c>
      <c r="AE111" t="str">
        <f>_xlfn.XLOOKUP(B:B,Disk_Pivot!G:G,Disk_Pivot!I:I)</f>
        <v>No</v>
      </c>
      <c r="AF111" t="str">
        <f>_xlfn.XLOOKUP(B111,Disk_Pivot!G:G,Disk_Pivot!N:N)</f>
        <v/>
      </c>
    </row>
    <row r="112" spans="6:32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Q112" t="e">
        <f>INDEX(Input!$D$2:$AD$500,
       MATCH(B112, Input!$J$2:$J$500, 0),
       MATCH("Disk Capacity", Input!$D$1:$AD$1, 0))</f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AC112">IFERROR(IF(_xlfn.XLOOKUP(B112,Input!J:J,Input!N:V)=0,"",
          _xlfn.XLOOKUP(B112,Input!J:J,Input!N:V)),"")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s="13" t="str">
        <v/>
      </c>
      <c r="AB112" s="13" t="str">
        <v/>
      </c>
      <c r="AC112" s="13" t="str">
        <v/>
      </c>
      <c r="AD112" t="str">
        <f t="shared" si="5"/>
        <v/>
      </c>
      <c r="AE112" t="str">
        <f>_xlfn.XLOOKUP(B:B,Disk_Pivot!G:G,Disk_Pivot!I:I)</f>
        <v>No</v>
      </c>
      <c r="AF112" t="str">
        <f>_xlfn.XLOOKUP(B112,Disk_Pivot!G:G,Disk_Pivot!N:N)</f>
        <v/>
      </c>
    </row>
    <row r="113" spans="6:32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Q113" t="e">
        <f>INDEX(Input!$D$2:$AD$500,
       MATCH(B113, Input!$J$2:$J$500, 0),
       MATCH("Disk Capacity", Input!$D$1:$AD$1, 0))</f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AC113">IFERROR(IF(_xlfn.XLOOKUP(B113,Input!J:J,Input!N:V)=0,"",
          _xlfn.XLOOKUP(B113,Input!J:J,Input!N:V)),"")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s="13" t="str">
        <v/>
      </c>
      <c r="AB113" s="13" t="str">
        <v/>
      </c>
      <c r="AC113" s="13" t="str">
        <v/>
      </c>
      <c r="AD113" t="str">
        <f t="shared" si="5"/>
        <v/>
      </c>
      <c r="AE113" t="str">
        <f>_xlfn.XLOOKUP(B:B,Disk_Pivot!G:G,Disk_Pivot!I:I)</f>
        <v>No</v>
      </c>
      <c r="AF113" t="str">
        <f>_xlfn.XLOOKUP(B113,Disk_Pivot!G:G,Disk_Pivot!N:N)</f>
        <v/>
      </c>
    </row>
    <row r="114" spans="6:32">
      <c r="F114" t="str">
        <f>_xlfn.XLOOKUP(H114,Models!B:B,Models!F:F,"")</f>
        <v/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Q114" t="e">
        <f>INDEX(Input!$D$2:$AD$500,
       MATCH(B114, Input!$J$2:$J$500, 0),
       MATCH("Disk Capacity", Input!$D$1:$AD$1, 0))</f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AC114">IFERROR(IF(_xlfn.XLOOKUP(B114,Input!J:J,Input!N:V)=0,"",
          _xlfn.XLOOKUP(B114,Input!J:J,Input!N:V)),"")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s="13" t="str">
        <v/>
      </c>
      <c r="AB114" s="13" t="str">
        <v/>
      </c>
      <c r="AC114" s="13" t="str">
        <v/>
      </c>
      <c r="AD114" t="str">
        <f t="shared" si="5"/>
        <v/>
      </c>
      <c r="AE114" t="str">
        <f>_xlfn.XLOOKUP(B:B,Disk_Pivot!G:G,Disk_Pivot!I:I)</f>
        <v>No</v>
      </c>
      <c r="AF114" t="str">
        <f>_xlfn.XLOOKUP(B114,Disk_Pivot!G:G,Disk_Pivot!N:N)</f>
        <v/>
      </c>
    </row>
    <row r="115" spans="6:32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Q115" t="e">
        <f>INDEX(Input!$D$2:$AD$500,
       MATCH(B115, Input!$J$2:$J$500, 0),
       MATCH("Disk Capacity", Input!$D$1:$AD$1, 0))</f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AC115">IFERROR(IF(_xlfn.XLOOKUP(B115,Input!J:J,Input!N:V)=0,"",
          _xlfn.XLOOKUP(B115,Input!J:J,Input!N:V)),"")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s="13" t="str">
        <v/>
      </c>
      <c r="AB115" s="13" t="str">
        <v/>
      </c>
      <c r="AC115" s="13" t="str">
        <v/>
      </c>
      <c r="AD115" t="str">
        <f t="shared" si="5"/>
        <v/>
      </c>
      <c r="AE115" t="str">
        <f>_xlfn.XLOOKUP(B:B,Disk_Pivot!G:G,Disk_Pivot!I:I)</f>
        <v>No</v>
      </c>
      <c r="AF115" t="str">
        <f>_xlfn.XLOOKUP(B115,Disk_Pivot!G:G,Disk_Pivot!N:N)</f>
        <v/>
      </c>
    </row>
    <row r="116" spans="6:32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Q116" t="e">
        <f>INDEX(Input!$D$2:$AD$500,
       MATCH(B116, Input!$J$2:$J$500, 0),
       MATCH("Disk Capacity", Input!$D$1:$AD$1, 0))</f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AC116">IFERROR(IF(_xlfn.XLOOKUP(B116,Input!J:J,Input!N:V)=0,"",
          _xlfn.XLOOKUP(B116,Input!J:J,Input!N:V)),"")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s="13" t="str">
        <v/>
      </c>
      <c r="AB116" s="13" t="str">
        <v/>
      </c>
      <c r="AC116" s="13" t="str">
        <v/>
      </c>
      <c r="AD116" t="str">
        <f t="shared" si="5"/>
        <v/>
      </c>
      <c r="AE116" t="str">
        <f>_xlfn.XLOOKUP(B:B,Disk_Pivot!G:G,Disk_Pivot!I:I)</f>
        <v>No</v>
      </c>
      <c r="AF116" t="str">
        <f>_xlfn.XLOOKUP(B116,Disk_Pivot!G:G,Disk_Pivot!N:N)</f>
        <v/>
      </c>
    </row>
    <row r="117" spans="6:32">
      <c r="F117" t="str">
        <f>_xlfn.XLOOKUP(H117,Models!B:B,Models!F:F,"")</f>
        <v/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Q117" t="e">
        <f>INDEX(Input!$D$2:$AD$500,
       MATCH(B117, Input!$J$2:$J$500, 0),
       MATCH("Disk Capacity", Input!$D$1:$AD$1, 0))</f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AC117">IFERROR(IF(_xlfn.XLOOKUP(B117,Input!J:J,Input!N:V)=0,"",
          _xlfn.XLOOKUP(B117,Input!J:J,Input!N:V)),"")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s="13" t="str">
        <v/>
      </c>
      <c r="AB117" s="13" t="str">
        <v/>
      </c>
      <c r="AC117" s="13" t="str">
        <v/>
      </c>
      <c r="AD117" t="str">
        <f t="shared" si="5"/>
        <v/>
      </c>
      <c r="AE117" t="str">
        <f>_xlfn.XLOOKUP(B:B,Disk_Pivot!G:G,Disk_Pivot!I:I)</f>
        <v>No</v>
      </c>
      <c r="AF117" t="str">
        <f>_xlfn.XLOOKUP(B117,Disk_Pivot!G:G,Disk_Pivot!N:N)</f>
        <v/>
      </c>
    </row>
    <row r="118" spans="6:32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Q118" t="e">
        <f>INDEX(Input!$D$2:$AD$500,
       MATCH(B118, Input!$J$2:$J$500, 0),
       MATCH("Disk Capacity", Input!$D$1:$AD$1, 0))</f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AC118">IFERROR(IF(_xlfn.XLOOKUP(B118,Input!J:J,Input!N:V)=0,"",
          _xlfn.XLOOKUP(B118,Input!J:J,Input!N:V)),"")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s="13" t="str">
        <v/>
      </c>
      <c r="AB118" s="13" t="str">
        <v/>
      </c>
      <c r="AC118" s="13" t="str">
        <v/>
      </c>
      <c r="AD118" t="str">
        <f t="shared" si="5"/>
        <v/>
      </c>
      <c r="AE118" t="str">
        <f>_xlfn.XLOOKUP(B:B,Disk_Pivot!G:G,Disk_Pivot!I:I)</f>
        <v>No</v>
      </c>
      <c r="AF118" t="str">
        <f>_xlfn.XLOOKUP(B118,Disk_Pivot!G:G,Disk_Pivot!N:N)</f>
        <v/>
      </c>
    </row>
    <row r="119" spans="6:32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Q119" t="e">
        <f>INDEX(Input!$D$2:$AD$500,
       MATCH(B119, Input!$J$2:$J$500, 0),
       MATCH("Disk Capacity", Input!$D$1:$AD$1, 0))</f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AC119">IFERROR(IF(_xlfn.XLOOKUP(B119,Input!J:J,Input!N:V)=0,"",
          _xlfn.XLOOKUP(B119,Input!J:J,Input!N:V)),"")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s="13" t="str">
        <v/>
      </c>
      <c r="AB119" s="13" t="str">
        <v/>
      </c>
      <c r="AC119" s="13" t="str">
        <v/>
      </c>
      <c r="AD119" t="str">
        <f t="shared" si="5"/>
        <v/>
      </c>
      <c r="AE119" t="str">
        <f>_xlfn.XLOOKUP(B:B,Disk_Pivot!G:G,Disk_Pivot!I:I)</f>
        <v>No</v>
      </c>
      <c r="AF119" t="str">
        <f>_xlfn.XLOOKUP(B119,Disk_Pivot!G:G,Disk_Pivot!N:N)</f>
        <v/>
      </c>
    </row>
    <row r="120" spans="6:32">
      <c r="F120" t="str">
        <f>_xlfn.XLOOKUP(H120,Models!B:B,Models!F:F,"")</f>
        <v/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Q120" t="e">
        <f>INDEX(Input!$D$2:$AD$500,
       MATCH(B120, Input!$J$2:$J$500, 0),
       MATCH("Disk Capacity", Input!$D$1:$AD$1, 0))</f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AC120">IFERROR(IF(_xlfn.XLOOKUP(B120,Input!J:J,Input!N:V)=0,"",
          _xlfn.XLOOKUP(B120,Input!J:J,Input!N:V)),"")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s="13" t="str">
        <v/>
      </c>
      <c r="AB120" s="13" t="str">
        <v/>
      </c>
      <c r="AC120" s="13" t="str">
        <v/>
      </c>
      <c r="AD120" t="str">
        <f t="shared" si="5"/>
        <v/>
      </c>
      <c r="AE120" t="str">
        <f>_xlfn.XLOOKUP(B:B,Disk_Pivot!G:G,Disk_Pivot!I:I)</f>
        <v>No</v>
      </c>
      <c r="AF120" t="str">
        <f>_xlfn.XLOOKUP(B120,Disk_Pivot!G:G,Disk_Pivot!N:N)</f>
        <v/>
      </c>
    </row>
    <row r="121" spans="6:32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Q121" t="e">
        <f>INDEX(Input!$D$2:$AD$500,
       MATCH(B121, Input!$J$2:$J$500, 0),
       MATCH("Disk Capacity", Input!$D$1:$AD$1, 0))</f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AC121">IFERROR(IF(_xlfn.XLOOKUP(B121,Input!J:J,Input!N:V)=0,"",
          _xlfn.XLOOKUP(B121,Input!J:J,Input!N:V)),"")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s="13" t="str">
        <v/>
      </c>
      <c r="AB121" s="13" t="str">
        <v/>
      </c>
      <c r="AC121" s="13" t="str">
        <v/>
      </c>
      <c r="AD121" t="str">
        <f t="shared" si="5"/>
        <v/>
      </c>
      <c r="AE121" t="str">
        <f>_xlfn.XLOOKUP(B:B,Disk_Pivot!G:G,Disk_Pivot!I:I)</f>
        <v>No</v>
      </c>
      <c r="AF121" t="str">
        <f>_xlfn.XLOOKUP(B121,Disk_Pivot!G:G,Disk_Pivot!N:N)</f>
        <v/>
      </c>
    </row>
    <row r="122" spans="6:32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Q122" t="e">
        <f>INDEX(Input!$D$2:$AD$500,
       MATCH(B122, Input!$J$2:$J$500, 0),
       MATCH("Disk Capacity", Input!$D$1:$AD$1, 0))</f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AC122">IFERROR(IF(_xlfn.XLOOKUP(B122,Input!J:J,Input!N:V)=0,"",
          _xlfn.XLOOKUP(B122,Input!J:J,Input!N:V)),"")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s="13" t="str">
        <v/>
      </c>
      <c r="AB122" s="13" t="str">
        <v/>
      </c>
      <c r="AC122" s="13" t="str">
        <v/>
      </c>
      <c r="AD122" t="str">
        <f t="shared" si="5"/>
        <v/>
      </c>
      <c r="AE122" t="str">
        <f>_xlfn.XLOOKUP(B:B,Disk_Pivot!G:G,Disk_Pivot!I:I)</f>
        <v>No</v>
      </c>
      <c r="AF122" t="str">
        <f>_xlfn.XLOOKUP(B122,Disk_Pivot!G:G,Disk_Pivot!N:N)</f>
        <v/>
      </c>
    </row>
    <row r="123" spans="6:32">
      <c r="F123" t="str">
        <f>_xlfn.XLOOKUP(H123,Models!B:B,Models!F:F,"")</f>
        <v/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Q123" t="e">
        <f>INDEX(Input!$D$2:$AD$500,
       MATCH(B123, Input!$J$2:$J$500, 0),
       MATCH("Disk Capacity", Input!$D$1:$AD$1, 0))</f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AC123">IFERROR(IF(_xlfn.XLOOKUP(B123,Input!J:J,Input!N:V)=0,"",
          _xlfn.XLOOKUP(B123,Input!J:J,Input!N:V)),"")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s="13" t="str">
        <v/>
      </c>
      <c r="AB123" s="13" t="str">
        <v/>
      </c>
      <c r="AC123" s="13" t="str">
        <v/>
      </c>
      <c r="AD123" t="str">
        <f t="shared" si="5"/>
        <v/>
      </c>
      <c r="AE123" t="str">
        <f>_xlfn.XLOOKUP(B:B,Disk_Pivot!G:G,Disk_Pivot!I:I)</f>
        <v>No</v>
      </c>
      <c r="AF123" t="str">
        <f>_xlfn.XLOOKUP(B123,Disk_Pivot!G:G,Disk_Pivot!N:N)</f>
        <v/>
      </c>
    </row>
    <row r="124" spans="6:32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Q124" t="e">
        <f>INDEX(Input!$D$2:$AD$500,
       MATCH(B124, Input!$J$2:$J$500, 0),
       MATCH("Disk Capacity", Input!$D$1:$AD$1, 0))</f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AC124">IFERROR(IF(_xlfn.XLOOKUP(B124,Input!J:J,Input!N:V)=0,"",
          _xlfn.XLOOKUP(B124,Input!J:J,Input!N:V)),"")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s="13" t="str">
        <v/>
      </c>
      <c r="AB124" s="13" t="str">
        <v/>
      </c>
      <c r="AC124" s="13" t="str">
        <v/>
      </c>
      <c r="AD124" t="str">
        <f t="shared" si="5"/>
        <v/>
      </c>
      <c r="AE124" t="str">
        <f>_xlfn.XLOOKUP(B:B,Disk_Pivot!G:G,Disk_Pivot!I:I)</f>
        <v>No</v>
      </c>
      <c r="AF124" t="str">
        <f>_xlfn.XLOOKUP(B124,Disk_Pivot!G:G,Disk_Pivot!N:N)</f>
        <v/>
      </c>
    </row>
    <row r="125" spans="6:32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Q125" t="e">
        <f>INDEX(Input!$D$2:$AD$500,
       MATCH(B125, Input!$J$2:$J$500, 0),
       MATCH("Disk Capacity", Input!$D$1:$AD$1, 0))</f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AC125">IFERROR(IF(_xlfn.XLOOKUP(B125,Input!J:J,Input!N:V)=0,"",
          _xlfn.XLOOKUP(B125,Input!J:J,Input!N:V)),"")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s="13" t="str">
        <v/>
      </c>
      <c r="AB125" s="13" t="str">
        <v/>
      </c>
      <c r="AC125" s="13" t="str">
        <v/>
      </c>
      <c r="AD125" t="str">
        <f t="shared" si="5"/>
        <v/>
      </c>
      <c r="AE125" t="str">
        <f>_xlfn.XLOOKUP(B:B,Disk_Pivot!G:G,Disk_Pivot!I:I)</f>
        <v>No</v>
      </c>
      <c r="AF125" t="str">
        <f>_xlfn.XLOOKUP(B125,Disk_Pivot!G:G,Disk_Pivot!N:N)</f>
        <v/>
      </c>
    </row>
    <row r="126" spans="6:32">
      <c r="F126" t="str">
        <f>_xlfn.XLOOKUP(H126,Models!B:B,Models!F:F,"")</f>
        <v/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Q126" t="e">
        <f>INDEX(Input!$D$2:$AD$500,
       MATCH(B126, Input!$J$2:$J$500, 0),
       MATCH("Disk Capacity", Input!$D$1:$AD$1, 0))</f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AC126">IFERROR(IF(_xlfn.XLOOKUP(B126,Input!J:J,Input!N:V)=0,"",
          _xlfn.XLOOKUP(B126,Input!J:J,Input!N:V)),"")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s="13" t="str">
        <v/>
      </c>
      <c r="AB126" s="13" t="str">
        <v/>
      </c>
      <c r="AC126" s="13" t="str">
        <v/>
      </c>
      <c r="AD126" t="str">
        <f t="shared" si="5"/>
        <v/>
      </c>
      <c r="AE126" t="str">
        <f>_xlfn.XLOOKUP(B:B,Disk_Pivot!G:G,Disk_Pivot!I:I)</f>
        <v>No</v>
      </c>
      <c r="AF126" t="str">
        <f>_xlfn.XLOOKUP(B126,Disk_Pivot!G:G,Disk_Pivot!N:N)</f>
        <v/>
      </c>
    </row>
    <row r="127" spans="6:32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Q127" t="e">
        <f>INDEX(Input!$D$2:$AD$500,
       MATCH(B127, Input!$J$2:$J$500, 0),
       MATCH("Disk Capacity", Input!$D$1:$AD$1, 0))</f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AC127">IFERROR(IF(_xlfn.XLOOKUP(B127,Input!J:J,Input!N:V)=0,"",
          _xlfn.XLOOKUP(B127,Input!J:J,Input!N:V)),"")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s="13" t="str">
        <v/>
      </c>
      <c r="AB127" s="13" t="str">
        <v/>
      </c>
      <c r="AC127" s="13" t="str">
        <v/>
      </c>
      <c r="AD127" t="str">
        <f t="shared" si="5"/>
        <v/>
      </c>
      <c r="AE127" t="str">
        <f>_xlfn.XLOOKUP(B:B,Disk_Pivot!G:G,Disk_Pivot!I:I)</f>
        <v>No</v>
      </c>
      <c r="AF127" t="str">
        <f>_xlfn.XLOOKUP(B127,Disk_Pivot!G:G,Disk_Pivot!N:N)</f>
        <v/>
      </c>
    </row>
    <row r="128" spans="6:32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Q128" t="e">
        <f>INDEX(Input!$D$2:$AD$500,
       MATCH(B128, Input!$J$2:$J$500, 0),
       MATCH("Disk Capacity", Input!$D$1:$AD$1, 0))</f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AC128">IFERROR(IF(_xlfn.XLOOKUP(B128,Input!J:J,Input!N:V)=0,"",
          _xlfn.XLOOKUP(B128,Input!J:J,Input!N:V)),"")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s="13" t="str">
        <v/>
      </c>
      <c r="AB128" s="13" t="str">
        <v/>
      </c>
      <c r="AC128" s="13" t="str">
        <v/>
      </c>
      <c r="AD128" t="str">
        <f t="shared" si="5"/>
        <v/>
      </c>
      <c r="AE128" t="str">
        <f>_xlfn.XLOOKUP(B:B,Disk_Pivot!G:G,Disk_Pivot!I:I)</f>
        <v>No</v>
      </c>
      <c r="AF128" t="str">
        <f>_xlfn.XLOOKUP(B128,Disk_Pivot!G:G,Disk_Pivot!N:N)</f>
        <v/>
      </c>
    </row>
    <row r="129" spans="6:32">
      <c r="F129" t="str">
        <f>_xlfn.XLOOKUP(H129,Models!B:B,Models!F:F,"")</f>
        <v/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Q129" t="e">
        <f>INDEX(Input!$D$2:$AD$500,
       MATCH(B129, Input!$J$2:$J$500, 0),
       MATCH("Disk Capacity", Input!$D$1:$AD$1, 0))</f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AC129">IFERROR(IF(_xlfn.XLOOKUP(B129,Input!J:J,Input!N:V)=0,"",
          _xlfn.XLOOKUP(B129,Input!J:J,Input!N:V)),"")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s="13" t="str">
        <v/>
      </c>
      <c r="AB129" s="13" t="str">
        <v/>
      </c>
      <c r="AC129" s="13" t="str">
        <v/>
      </c>
      <c r="AD129" t="str">
        <f t="shared" si="5"/>
        <v/>
      </c>
      <c r="AE129" t="str">
        <f>_xlfn.XLOOKUP(B:B,Disk_Pivot!G:G,Disk_Pivot!I:I)</f>
        <v>No</v>
      </c>
      <c r="AF129" t="str">
        <f>_xlfn.XLOOKUP(B129,Disk_Pivot!G:G,Disk_Pivot!N:N)</f>
        <v/>
      </c>
    </row>
    <row r="130" spans="6:32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Q130" t="e">
        <f>INDEX(Input!$D$2:$AD$500,
       MATCH(B130, Input!$J$2:$J$500, 0),
       MATCH("Disk Capacity", Input!$D$1:$AD$1, 0))</f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AC130">IFERROR(IF(_xlfn.XLOOKUP(B130,Input!J:J,Input!N:V)=0,"",
          _xlfn.XLOOKUP(B130,Input!J:J,Input!N:V)),"")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s="13" t="str">
        <v/>
      </c>
      <c r="AB130" s="13" t="str">
        <v/>
      </c>
      <c r="AC130" s="13" t="str">
        <v/>
      </c>
      <c r="AD130" t="str">
        <f t="shared" si="5"/>
        <v/>
      </c>
      <c r="AE130" t="str">
        <f>_xlfn.XLOOKUP(B:B,Disk_Pivot!G:G,Disk_Pivot!I:I)</f>
        <v>No</v>
      </c>
      <c r="AF130" t="str">
        <f>_xlfn.XLOOKUP(B130,Disk_Pivot!G:G,Disk_Pivot!N:N)</f>
        <v/>
      </c>
    </row>
    <row r="131" spans="6:32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Q131" t="e">
        <f>INDEX(Input!$D$2:$AD$500,
       MATCH(B131, Input!$J$2:$J$500, 0),
       MATCH("Disk Capacity", Input!$D$1:$AD$1, 0))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AC131">IFERROR(IF(_xlfn.XLOOKUP(B131,Input!J:J,Input!N:V)=0,"",
          _xlfn.XLOOKUP(B131,Input!J:J,Input!N:V)),"")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s="13" t="str">
        <v/>
      </c>
      <c r="AB131" s="13" t="str">
        <v/>
      </c>
      <c r="AC131" s="13" t="str">
        <v/>
      </c>
      <c r="AD131" t="str">
        <f t="shared" ref="AD131:AD194" si="8">_xlfn.TEXTJOIN(", ",TRUE,T131,U131,V131,W131,X131,Y131,Z131)</f>
        <v/>
      </c>
      <c r="AE131" t="str">
        <f>_xlfn.XLOOKUP(B:B,Disk_Pivot!G:G,Disk_Pivot!I:I)</f>
        <v>No</v>
      </c>
      <c r="AF131" t="str">
        <f>_xlfn.XLOOKUP(B131,Disk_Pivot!G:G,Disk_Pivot!N:N)</f>
        <v/>
      </c>
    </row>
    <row r="132" spans="6:32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Q132" t="e">
        <f>INDEX(Input!$D$2:$AD$500,
       MATCH(B132, Input!$J$2:$J$500, 0),
       MATCH("Disk Capacity", Input!$D$1:$AD$1, 0))</f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AC132">IFERROR(IF(_xlfn.XLOOKUP(B132,Input!J:J,Input!N:V)=0,"",
          _xlfn.XLOOKUP(B132,Input!J:J,Input!N:V)),"")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s="13" t="str">
        <v/>
      </c>
      <c r="AB132" s="13" t="str">
        <v/>
      </c>
      <c r="AC132" s="13" t="str">
        <v/>
      </c>
      <c r="AD132" t="str">
        <f t="shared" si="8"/>
        <v/>
      </c>
      <c r="AE132" t="str">
        <f>_xlfn.XLOOKUP(B:B,Disk_Pivot!G:G,Disk_Pivot!I:I)</f>
        <v>No</v>
      </c>
      <c r="AF132" t="str">
        <f>_xlfn.XLOOKUP(B132,Disk_Pivot!G:G,Disk_Pivot!N:N)</f>
        <v/>
      </c>
    </row>
    <row r="133" spans="6:32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Q133" t="e">
        <f>INDEX(Input!$D$2:$AD$500,
       MATCH(B133, Input!$J$2:$J$500, 0),
       MATCH("Disk Capacity", Input!$D$1:$AD$1, 0))</f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AC133">IFERROR(IF(_xlfn.XLOOKUP(B133,Input!J:J,Input!N:V)=0,"",
          _xlfn.XLOOKUP(B133,Input!J:J,Input!N:V)),"")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s="13" t="str">
        <v/>
      </c>
      <c r="AB133" s="13" t="str">
        <v/>
      </c>
      <c r="AC133" s="13" t="str">
        <v/>
      </c>
      <c r="AD133" t="str">
        <f t="shared" si="8"/>
        <v/>
      </c>
      <c r="AE133" t="str">
        <f>_xlfn.XLOOKUP(B:B,Disk_Pivot!G:G,Disk_Pivot!I:I)</f>
        <v>No</v>
      </c>
      <c r="AF133" t="str">
        <f>_xlfn.XLOOKUP(B133,Disk_Pivot!G:G,Disk_Pivot!N:N)</f>
        <v/>
      </c>
    </row>
    <row r="134" spans="6:32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Q134" t="e">
        <f>INDEX(Input!$D$2:$AD$500,
       MATCH(B134, Input!$J$2:$J$500, 0),
       MATCH("Disk Capacity", Input!$D$1:$AD$1, 0))</f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AC134">IFERROR(IF(_xlfn.XLOOKUP(B134,Input!J:J,Input!N:V)=0,"",
          _xlfn.XLOOKUP(B134,Input!J:J,Input!N:V)),"")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s="13" t="str">
        <v/>
      </c>
      <c r="AB134" s="13" t="str">
        <v/>
      </c>
      <c r="AC134" s="13" t="str">
        <v/>
      </c>
      <c r="AD134" t="str">
        <f t="shared" si="8"/>
        <v/>
      </c>
      <c r="AE134" t="str">
        <f>_xlfn.XLOOKUP(B:B,Disk_Pivot!G:G,Disk_Pivot!I:I)</f>
        <v>No</v>
      </c>
      <c r="AF134" t="str">
        <f>_xlfn.XLOOKUP(B134,Disk_Pivot!G:G,Disk_Pivot!N:N)</f>
        <v/>
      </c>
    </row>
    <row r="135" spans="6:32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Q135" t="e">
        <f>INDEX(Input!$D$2:$AD$500,
       MATCH(B135, Input!$J$2:$J$500, 0),
       MATCH("Disk Capacity", Input!$D$1:$AD$1, 0))</f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AC135">IFERROR(IF(_xlfn.XLOOKUP(B135,Input!J:J,Input!N:V)=0,"",
          _xlfn.XLOOKUP(B135,Input!J:J,Input!N:V)),"")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s="13" t="str">
        <v/>
      </c>
      <c r="AB135" s="13" t="str">
        <v/>
      </c>
      <c r="AC135" s="13" t="str">
        <v/>
      </c>
      <c r="AD135" t="str">
        <f t="shared" si="8"/>
        <v/>
      </c>
      <c r="AE135" t="str">
        <f>_xlfn.XLOOKUP(B:B,Disk_Pivot!G:G,Disk_Pivot!I:I)</f>
        <v>No</v>
      </c>
      <c r="AF135" t="str">
        <f>_xlfn.XLOOKUP(B135,Disk_Pivot!G:G,Disk_Pivot!N:N)</f>
        <v/>
      </c>
    </row>
    <row r="136" spans="6:32">
      <c r="F136">
        <f>_xlfn.XLOOKUP(H136,Models!B:B,Models!F:F,"")</f>
        <v>0</v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Q136" t="e">
        <f>INDEX(Input!$D$2:$AD$500,
       MATCH(B136, Input!$J$2:$J$500, 0),
       MATCH("Disk Capacity", Input!$D$1:$AD$1, 0))</f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AC136">IFERROR(IF(_xlfn.XLOOKUP(B136,Input!J:J,Input!N:V)=0,"",
          _xlfn.XLOOKUP(B136,Input!J:J,Input!N:V)),"")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s="13" t="str">
        <v/>
      </c>
      <c r="AB136" s="13" t="str">
        <v/>
      </c>
      <c r="AC136" s="13" t="str">
        <v/>
      </c>
      <c r="AD136" t="str">
        <f t="shared" si="8"/>
        <v/>
      </c>
      <c r="AE136" t="str">
        <f>_xlfn.XLOOKUP(B:B,Disk_Pivot!G:G,Disk_Pivot!I:I)</f>
        <v>No</v>
      </c>
      <c r="AF136" t="str">
        <f>_xlfn.XLOOKUP(B136,Disk_Pivot!G:G,Disk_Pivot!N:N)</f>
        <v/>
      </c>
    </row>
    <row r="137" spans="6:32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Q137" t="e">
        <f>INDEX(Input!$D$2:$AD$500,
       MATCH(B137, Input!$J$2:$J$500, 0),
       MATCH("Disk Capacity", Input!$D$1:$AD$1, 0))</f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AC137">IFERROR(IF(_xlfn.XLOOKUP(B137,Input!J:J,Input!N:V)=0,"",
          _xlfn.XLOOKUP(B137,Input!J:J,Input!N:V)),"")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s="13" t="str">
        <v/>
      </c>
      <c r="AB137" s="13" t="str">
        <v/>
      </c>
      <c r="AC137" s="13" t="str">
        <v/>
      </c>
      <c r="AD137" t="str">
        <f t="shared" si="8"/>
        <v/>
      </c>
      <c r="AE137" t="str">
        <f>_xlfn.XLOOKUP(B:B,Disk_Pivot!G:G,Disk_Pivot!I:I)</f>
        <v>No</v>
      </c>
      <c r="AF137" t="str">
        <f>_xlfn.XLOOKUP(B137,Disk_Pivot!G:G,Disk_Pivot!N:N)</f>
        <v/>
      </c>
    </row>
    <row r="138" spans="6:32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Q138" t="e">
        <f>INDEX(Input!$D$2:$AD$500,
       MATCH(B138, Input!$J$2:$J$500, 0),
       MATCH("Disk Capacity", Input!$D$1:$AD$1, 0))</f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AC138">IFERROR(IF(_xlfn.XLOOKUP(B138,Input!J:J,Input!N:V)=0,"",
          _xlfn.XLOOKUP(B138,Input!J:J,Input!N:V)),"")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s="13" t="str">
        <v/>
      </c>
      <c r="AB138" s="13" t="str">
        <v/>
      </c>
      <c r="AC138" s="13" t="str">
        <v/>
      </c>
      <c r="AD138" t="str">
        <f t="shared" si="8"/>
        <v/>
      </c>
      <c r="AE138" t="str">
        <f>_xlfn.XLOOKUP(B:B,Disk_Pivot!G:G,Disk_Pivot!I:I)</f>
        <v>No</v>
      </c>
      <c r="AF138" t="str">
        <f>_xlfn.XLOOKUP(B138,Disk_Pivot!G:G,Disk_Pivot!N:N)</f>
        <v/>
      </c>
    </row>
    <row r="139" spans="6:32">
      <c r="F139">
        <f>_xlfn.XLOOKUP(H139,Models!B:B,Models!F:F,"")</f>
        <v>0</v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Q139" t="e">
        <f>INDEX(Input!$D$2:$AD$500,
       MATCH(B139, Input!$J$2:$J$500, 0),
       MATCH("Disk Capacity", Input!$D$1:$AD$1, 0))</f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AC139">IFERROR(IF(_xlfn.XLOOKUP(B139,Input!J:J,Input!N:V)=0,"",
          _xlfn.XLOOKUP(B139,Input!J:J,Input!N:V)),"")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s="13" t="str">
        <v/>
      </c>
      <c r="AB139" s="13" t="str">
        <v/>
      </c>
      <c r="AC139" s="13" t="str">
        <v/>
      </c>
      <c r="AD139" t="str">
        <f t="shared" si="8"/>
        <v/>
      </c>
      <c r="AE139" t="str">
        <f>_xlfn.XLOOKUP(B:B,Disk_Pivot!G:G,Disk_Pivot!I:I)</f>
        <v>No</v>
      </c>
      <c r="AF139" t="str">
        <f>_xlfn.XLOOKUP(B139,Disk_Pivot!G:G,Disk_Pivot!N:N)</f>
        <v/>
      </c>
    </row>
    <row r="140" spans="6:32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Q140" t="e">
        <f>INDEX(Input!$D$2:$AD$500,
       MATCH(B140, Input!$J$2:$J$500, 0),
       MATCH("Disk Capacity", Input!$D$1:$AD$1, 0))</f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AC140">IFERROR(IF(_xlfn.XLOOKUP(B140,Input!J:J,Input!N:V)=0,"",
          _xlfn.XLOOKUP(B140,Input!J:J,Input!N:V)),"")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s="13" t="str">
        <v/>
      </c>
      <c r="AB140" s="13" t="str">
        <v/>
      </c>
      <c r="AC140" s="13" t="str">
        <v/>
      </c>
      <c r="AD140" t="str">
        <f t="shared" si="8"/>
        <v/>
      </c>
      <c r="AE140" t="str">
        <f>_xlfn.XLOOKUP(B:B,Disk_Pivot!G:G,Disk_Pivot!I:I)</f>
        <v>No</v>
      </c>
      <c r="AF140" t="str">
        <f>_xlfn.XLOOKUP(B140,Disk_Pivot!G:G,Disk_Pivot!N:N)</f>
        <v/>
      </c>
    </row>
    <row r="141" spans="6:32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Q141" t="e">
        <f>INDEX(Input!$D$2:$AD$500,
       MATCH(B141, Input!$J$2:$J$500, 0),
       MATCH("Disk Capacity", Input!$D$1:$AD$1, 0))</f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AC141">IFERROR(IF(_xlfn.XLOOKUP(B141,Input!J:J,Input!N:V)=0,"",
          _xlfn.XLOOKUP(B141,Input!J:J,Input!N:V)),"")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s="13" t="str">
        <v/>
      </c>
      <c r="AB141" s="13" t="str">
        <v/>
      </c>
      <c r="AC141" s="13" t="str">
        <v/>
      </c>
      <c r="AD141" t="str">
        <f t="shared" si="8"/>
        <v/>
      </c>
      <c r="AE141" t="str">
        <f>_xlfn.XLOOKUP(B:B,Disk_Pivot!G:G,Disk_Pivot!I:I)</f>
        <v>No</v>
      </c>
      <c r="AF141" t="str">
        <f>_xlfn.XLOOKUP(B141,Disk_Pivot!G:G,Disk_Pivot!N:N)</f>
        <v/>
      </c>
    </row>
    <row r="142" spans="6:32">
      <c r="F142">
        <f>_xlfn.XLOOKUP(H142,Models!B:B,Models!F:F,"")</f>
        <v>0</v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Q142" t="e">
        <f>INDEX(Input!$D$2:$AD$500,
       MATCH(B142, Input!$J$2:$J$500, 0),
       MATCH("Disk Capacity", Input!$D$1:$AD$1, 0))</f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AC142">IFERROR(IF(_xlfn.XLOOKUP(B142,Input!J:J,Input!N:V)=0,"",
          _xlfn.XLOOKUP(B142,Input!J:J,Input!N:V)),"")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s="13" t="str">
        <v/>
      </c>
      <c r="AB142" s="13" t="str">
        <v/>
      </c>
      <c r="AC142" s="13" t="str">
        <v/>
      </c>
      <c r="AD142" t="str">
        <f t="shared" si="8"/>
        <v/>
      </c>
      <c r="AE142" t="str">
        <f>_xlfn.XLOOKUP(B:B,Disk_Pivot!G:G,Disk_Pivot!I:I)</f>
        <v>No</v>
      </c>
      <c r="AF142" t="str">
        <f>_xlfn.XLOOKUP(B142,Disk_Pivot!G:G,Disk_Pivot!N:N)</f>
        <v/>
      </c>
    </row>
    <row r="143" spans="6:32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Q143" t="e">
        <f>INDEX(Input!$D$2:$AD$500,
       MATCH(B143, Input!$J$2:$J$500, 0),
       MATCH("Disk Capacity", Input!$D$1:$AD$1, 0))</f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AC143">IFERROR(IF(_xlfn.XLOOKUP(B143,Input!J:J,Input!N:V)=0,"",
          _xlfn.XLOOKUP(B143,Input!J:J,Input!N:V)),"")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s="13" t="str">
        <v/>
      </c>
      <c r="AB143" s="13" t="str">
        <v/>
      </c>
      <c r="AC143" s="13" t="str">
        <v/>
      </c>
      <c r="AD143" t="str">
        <f t="shared" si="8"/>
        <v/>
      </c>
      <c r="AE143" t="str">
        <f>_xlfn.XLOOKUP(B:B,Disk_Pivot!G:G,Disk_Pivot!I:I)</f>
        <v>No</v>
      </c>
      <c r="AF143" t="str">
        <f>_xlfn.XLOOKUP(B143,Disk_Pivot!G:G,Disk_Pivot!N:N)</f>
        <v/>
      </c>
    </row>
    <row r="144" spans="6:32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Q144" t="e">
        <f>INDEX(Input!$D$2:$AD$500,
       MATCH(B144, Input!$J$2:$J$500, 0),
       MATCH("Disk Capacity", Input!$D$1:$AD$1, 0))</f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AC144">IFERROR(IF(_xlfn.XLOOKUP(B144,Input!J:J,Input!N:V)=0,"",
          _xlfn.XLOOKUP(B144,Input!J:J,Input!N:V)),"")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s="13" t="str">
        <v/>
      </c>
      <c r="AB144" s="13" t="str">
        <v/>
      </c>
      <c r="AC144" s="13" t="str">
        <v/>
      </c>
      <c r="AD144" t="str">
        <f t="shared" si="8"/>
        <v/>
      </c>
      <c r="AE144" t="str">
        <f>_xlfn.XLOOKUP(B:B,Disk_Pivot!G:G,Disk_Pivot!I:I)</f>
        <v>No</v>
      </c>
      <c r="AF144" t="str">
        <f>_xlfn.XLOOKUP(B144,Disk_Pivot!G:G,Disk_Pivot!N:N)</f>
        <v/>
      </c>
    </row>
    <row r="145" spans="6:32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Q145" t="e">
        <f>INDEX(Input!$D$2:$AD$500,
       MATCH(B145, Input!$J$2:$J$500, 0),
       MATCH("Disk Capacity", Input!$D$1:$AD$1, 0))</f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AC145">IFERROR(IF(_xlfn.XLOOKUP(B145,Input!J:J,Input!N:V)=0,"",
          _xlfn.XLOOKUP(B145,Input!J:J,Input!N:V)),"")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s="13" t="str">
        <v/>
      </c>
      <c r="AB145" s="13" t="str">
        <v/>
      </c>
      <c r="AC145" s="13" t="str">
        <v/>
      </c>
      <c r="AD145" t="str">
        <f t="shared" si="8"/>
        <v/>
      </c>
      <c r="AE145" t="str">
        <f>_xlfn.XLOOKUP(B:B,Disk_Pivot!G:G,Disk_Pivot!I:I)</f>
        <v>No</v>
      </c>
      <c r="AF145" t="str">
        <f>_xlfn.XLOOKUP(B145,Disk_Pivot!G:G,Disk_Pivot!N:N)</f>
        <v/>
      </c>
    </row>
    <row r="146" spans="6:32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Q146" t="e">
        <f>INDEX(Input!$D$2:$AD$500,
       MATCH(B146, Input!$J$2:$J$500, 0),
       MATCH("Disk Capacity", Input!$D$1:$AD$1, 0))</f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AC146">IFERROR(IF(_xlfn.XLOOKUP(B146,Input!J:J,Input!N:V)=0,"",
          _xlfn.XLOOKUP(B146,Input!J:J,Input!N:V)),"")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s="13" t="str">
        <v/>
      </c>
      <c r="AB146" s="13" t="str">
        <v/>
      </c>
      <c r="AC146" s="13" t="str">
        <v/>
      </c>
      <c r="AD146" t="str">
        <f t="shared" si="8"/>
        <v/>
      </c>
      <c r="AE146" t="str">
        <f>_xlfn.XLOOKUP(B:B,Disk_Pivot!G:G,Disk_Pivot!I:I)</f>
        <v>No</v>
      </c>
      <c r="AF146" t="str">
        <f>_xlfn.XLOOKUP(B146,Disk_Pivot!G:G,Disk_Pivot!N:N)</f>
        <v/>
      </c>
    </row>
    <row r="147" spans="6:32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Q147" t="e">
        <f>INDEX(Input!$D$2:$AD$500,
       MATCH(B147, Input!$J$2:$J$500, 0),
       MATCH("Disk Capacity", Input!$D$1:$AD$1, 0))</f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AC147">IFERROR(IF(_xlfn.XLOOKUP(B147,Input!J:J,Input!N:V)=0,"",
          _xlfn.XLOOKUP(B147,Input!J:J,Input!N:V)),"")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s="13" t="str">
        <v/>
      </c>
      <c r="AB147" s="13" t="str">
        <v/>
      </c>
      <c r="AC147" s="13" t="str">
        <v/>
      </c>
      <c r="AD147" t="str">
        <f t="shared" si="8"/>
        <v/>
      </c>
      <c r="AE147" t="str">
        <f>_xlfn.XLOOKUP(B:B,Disk_Pivot!G:G,Disk_Pivot!I:I)</f>
        <v>No</v>
      </c>
      <c r="AF147" t="str">
        <f>_xlfn.XLOOKUP(B147,Disk_Pivot!G:G,Disk_Pivot!N:N)</f>
        <v/>
      </c>
    </row>
    <row r="148" spans="6:32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Q148" t="e">
        <f>INDEX(Input!$D$2:$AD$500,
       MATCH(B148, Input!$J$2:$J$500, 0),
       MATCH("Disk Capacity", Input!$D$1:$AD$1, 0))</f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AC148">IFERROR(IF(_xlfn.XLOOKUP(B148,Input!J:J,Input!N:V)=0,"",
          _xlfn.XLOOKUP(B148,Input!J:J,Input!N:V)),"")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s="13" t="str">
        <v/>
      </c>
      <c r="AB148" s="13" t="str">
        <v/>
      </c>
      <c r="AC148" s="13" t="str">
        <v/>
      </c>
      <c r="AD148" t="str">
        <f t="shared" si="8"/>
        <v/>
      </c>
      <c r="AE148" t="str">
        <f>_xlfn.XLOOKUP(B:B,Disk_Pivot!G:G,Disk_Pivot!I:I)</f>
        <v>No</v>
      </c>
      <c r="AF148" t="str">
        <f>_xlfn.XLOOKUP(B148,Disk_Pivot!G:G,Disk_Pivot!N:N)</f>
        <v/>
      </c>
    </row>
    <row r="149" spans="6:32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Q149" t="e">
        <f>INDEX(Input!$D$2:$AD$500,
       MATCH(B149, Input!$J$2:$J$500, 0),
       MATCH("Disk Capacity", Input!$D$1:$AD$1, 0))</f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AC149">IFERROR(IF(_xlfn.XLOOKUP(B149,Input!J:J,Input!N:V)=0,"",
          _xlfn.XLOOKUP(B149,Input!J:J,Input!N:V)),"")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s="13" t="str">
        <v/>
      </c>
      <c r="AB149" s="13" t="str">
        <v/>
      </c>
      <c r="AC149" s="13" t="str">
        <v/>
      </c>
      <c r="AD149" t="str">
        <f t="shared" si="8"/>
        <v/>
      </c>
      <c r="AE149" t="str">
        <f>_xlfn.XLOOKUP(B:B,Disk_Pivot!G:G,Disk_Pivot!I:I)</f>
        <v>No</v>
      </c>
      <c r="AF149" t="str">
        <f>_xlfn.XLOOKUP(B149,Disk_Pivot!G:G,Disk_Pivot!N:N)</f>
        <v/>
      </c>
    </row>
    <row r="150" spans="6:32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Q150" t="e">
        <f>INDEX(Input!$D$2:$AD$500,
       MATCH(B150, Input!$J$2:$J$500, 0),
       MATCH("Disk Capacity", Input!$D$1:$AD$1, 0))</f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AC150">IFERROR(IF(_xlfn.XLOOKUP(B150,Input!J:J,Input!N:V)=0,"",
          _xlfn.XLOOKUP(B150,Input!J:J,Input!N:V)),"")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s="13" t="str">
        <v/>
      </c>
      <c r="AB150" s="13" t="str">
        <v/>
      </c>
      <c r="AC150" s="13" t="str">
        <v/>
      </c>
      <c r="AD150" t="str">
        <f t="shared" si="8"/>
        <v/>
      </c>
      <c r="AE150" t="str">
        <f>_xlfn.XLOOKUP(B:B,Disk_Pivot!G:G,Disk_Pivot!I:I)</f>
        <v>No</v>
      </c>
      <c r="AF150" t="str">
        <f>_xlfn.XLOOKUP(B150,Disk_Pivot!G:G,Disk_Pivot!N:N)</f>
        <v/>
      </c>
    </row>
    <row r="151" spans="6:32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Q151" t="e">
        <f>INDEX(Input!$D$2:$AD$500,
       MATCH(B151, Input!$J$2:$J$500, 0),
       MATCH("Disk Capacity", Input!$D$1:$AD$1, 0))</f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AC151">IFERROR(IF(_xlfn.XLOOKUP(B151,Input!J:J,Input!N:V)=0,"",
          _xlfn.XLOOKUP(B151,Input!J:J,Input!N:V)),"")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s="13" t="str">
        <v/>
      </c>
      <c r="AB151" s="13" t="str">
        <v/>
      </c>
      <c r="AC151" s="13" t="str">
        <v/>
      </c>
      <c r="AD151" t="str">
        <f t="shared" si="8"/>
        <v/>
      </c>
      <c r="AE151" t="str">
        <f>_xlfn.XLOOKUP(B:B,Disk_Pivot!G:G,Disk_Pivot!I:I)</f>
        <v>No</v>
      </c>
      <c r="AF151" t="str">
        <f>_xlfn.XLOOKUP(B151,Disk_Pivot!G:G,Disk_Pivot!N:N)</f>
        <v/>
      </c>
    </row>
    <row r="152" spans="6:32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Q152" t="e">
        <f>INDEX(Input!$D$2:$AD$500,
       MATCH(B152, Input!$J$2:$J$500, 0),
       MATCH("Disk Capacity", Input!$D$1:$AD$1, 0))</f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AC152">IFERROR(IF(_xlfn.XLOOKUP(B152,Input!J:J,Input!N:V)=0,"",
          _xlfn.XLOOKUP(B152,Input!J:J,Input!N:V)),"")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s="13" t="str">
        <v/>
      </c>
      <c r="AB152" s="13" t="str">
        <v/>
      </c>
      <c r="AC152" s="13" t="str">
        <v/>
      </c>
      <c r="AD152" t="str">
        <f t="shared" si="8"/>
        <v/>
      </c>
      <c r="AE152" t="str">
        <f>_xlfn.XLOOKUP(B:B,Disk_Pivot!G:G,Disk_Pivot!I:I)</f>
        <v>No</v>
      </c>
      <c r="AF152" t="str">
        <f>_xlfn.XLOOKUP(B152,Disk_Pivot!G:G,Disk_Pivot!N:N)</f>
        <v/>
      </c>
    </row>
    <row r="153" spans="6:32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Q153" t="e">
        <f>INDEX(Input!$D$2:$AD$500,
       MATCH(B153, Input!$J$2:$J$500, 0),
       MATCH("Disk Capacity", Input!$D$1:$AD$1, 0))</f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AC153">IFERROR(IF(_xlfn.XLOOKUP(B153,Input!J:J,Input!N:V)=0,"",
          _xlfn.XLOOKUP(B153,Input!J:J,Input!N:V)),"")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s="13" t="str">
        <v/>
      </c>
      <c r="AB153" s="13" t="str">
        <v/>
      </c>
      <c r="AC153" s="13" t="str">
        <v/>
      </c>
      <c r="AD153" t="str">
        <f t="shared" si="8"/>
        <v/>
      </c>
      <c r="AE153" t="str">
        <f>_xlfn.XLOOKUP(B:B,Disk_Pivot!G:G,Disk_Pivot!I:I)</f>
        <v>No</v>
      </c>
      <c r="AF153" t="str">
        <f>_xlfn.XLOOKUP(B153,Disk_Pivot!G:G,Disk_Pivot!N:N)</f>
        <v/>
      </c>
    </row>
    <row r="154" spans="6:32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Q154" t="e">
        <f>INDEX(Input!$D$2:$AD$500,
       MATCH(B154, Input!$J$2:$J$500, 0),
       MATCH("Disk Capacity", Input!$D$1:$AD$1, 0))</f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AC154">IFERROR(IF(_xlfn.XLOOKUP(B154,Input!J:J,Input!N:V)=0,"",
          _xlfn.XLOOKUP(B154,Input!J:J,Input!N:V)),"")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s="13" t="str">
        <v/>
      </c>
      <c r="AB154" s="13" t="str">
        <v/>
      </c>
      <c r="AC154" s="13" t="str">
        <v/>
      </c>
      <c r="AD154" t="str">
        <f t="shared" si="8"/>
        <v/>
      </c>
      <c r="AE154" t="str">
        <f>_xlfn.XLOOKUP(B:B,Disk_Pivot!G:G,Disk_Pivot!I:I)</f>
        <v>No</v>
      </c>
      <c r="AF154" t="str">
        <f>_xlfn.XLOOKUP(B154,Disk_Pivot!G:G,Disk_Pivot!N:N)</f>
        <v/>
      </c>
    </row>
    <row r="155" spans="6:32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Q155" t="e">
        <f>INDEX(Input!$D$2:$AD$500,
       MATCH(B155, Input!$J$2:$J$500, 0),
       MATCH("Disk Capacity", Input!$D$1:$AD$1, 0))</f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AC155">IFERROR(IF(_xlfn.XLOOKUP(B155,Input!J:J,Input!N:V)=0,"",
          _xlfn.XLOOKUP(B155,Input!J:J,Input!N:V)),"")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s="13" t="str">
        <v/>
      </c>
      <c r="AB155" s="13" t="str">
        <v/>
      </c>
      <c r="AC155" s="13" t="str">
        <v/>
      </c>
      <c r="AD155" t="str">
        <f t="shared" si="8"/>
        <v/>
      </c>
      <c r="AE155" t="str">
        <f>_xlfn.XLOOKUP(B:B,Disk_Pivot!G:G,Disk_Pivot!I:I)</f>
        <v>No</v>
      </c>
      <c r="AF155" t="str">
        <f>_xlfn.XLOOKUP(B155,Disk_Pivot!G:G,Disk_Pivot!N:N)</f>
        <v/>
      </c>
    </row>
    <row r="156" spans="6:32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Q156" t="e">
        <f>INDEX(Input!$D$2:$AD$500,
       MATCH(B156, Input!$J$2:$J$500, 0),
       MATCH("Disk Capacity", Input!$D$1:$AD$1, 0))</f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AC156">IFERROR(IF(_xlfn.XLOOKUP(B156,Input!J:J,Input!N:V)=0,"",
          _xlfn.XLOOKUP(B156,Input!J:J,Input!N:V)),"")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s="13" t="str">
        <v/>
      </c>
      <c r="AB156" s="13" t="str">
        <v/>
      </c>
      <c r="AC156" s="13" t="str">
        <v/>
      </c>
      <c r="AD156" t="str">
        <f t="shared" si="8"/>
        <v/>
      </c>
      <c r="AE156" t="str">
        <f>_xlfn.XLOOKUP(B:B,Disk_Pivot!G:G,Disk_Pivot!I:I)</f>
        <v>No</v>
      </c>
      <c r="AF156" t="str">
        <f>_xlfn.XLOOKUP(B156,Disk_Pivot!G:G,Disk_Pivot!N:N)</f>
        <v/>
      </c>
    </row>
    <row r="157" spans="6:32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Q157" t="e">
        <f>INDEX(Input!$D$2:$AD$500,
       MATCH(B157, Input!$J$2:$J$500, 0),
       MATCH("Disk Capacity", Input!$D$1:$AD$1, 0))</f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AC157">IFERROR(IF(_xlfn.XLOOKUP(B157,Input!J:J,Input!N:V)=0,"",
          _xlfn.XLOOKUP(B157,Input!J:J,Input!N:V)),"")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s="13" t="str">
        <v/>
      </c>
      <c r="AB157" s="13" t="str">
        <v/>
      </c>
      <c r="AC157" s="13" t="str">
        <v/>
      </c>
      <c r="AD157" t="str">
        <f t="shared" si="8"/>
        <v/>
      </c>
      <c r="AE157" t="str">
        <f>_xlfn.XLOOKUP(B:B,Disk_Pivot!G:G,Disk_Pivot!I:I)</f>
        <v>No</v>
      </c>
      <c r="AF157" t="str">
        <f>_xlfn.XLOOKUP(B157,Disk_Pivot!G:G,Disk_Pivot!N:N)</f>
        <v/>
      </c>
    </row>
    <row r="158" spans="6:32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Q158" t="e">
        <f>INDEX(Input!$D$2:$AD$500,
       MATCH(B158, Input!$J$2:$J$500, 0),
       MATCH("Disk Capacity", Input!$D$1:$AD$1, 0))</f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AC158">IFERROR(IF(_xlfn.XLOOKUP(B158,Input!J:J,Input!N:V)=0,"",
          _xlfn.XLOOKUP(B158,Input!J:J,Input!N:V)),"")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s="13" t="str">
        <v/>
      </c>
      <c r="AB158" s="13" t="str">
        <v/>
      </c>
      <c r="AC158" s="13" t="str">
        <v/>
      </c>
      <c r="AD158" t="str">
        <f t="shared" si="8"/>
        <v/>
      </c>
      <c r="AE158" t="str">
        <f>_xlfn.XLOOKUP(B:B,Disk_Pivot!G:G,Disk_Pivot!I:I)</f>
        <v>No</v>
      </c>
      <c r="AF158" t="str">
        <f>_xlfn.XLOOKUP(B158,Disk_Pivot!G:G,Disk_Pivot!N:N)</f>
        <v/>
      </c>
    </row>
    <row r="159" spans="6:32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Q159" t="e">
        <f>INDEX(Input!$D$2:$AD$500,
       MATCH(B159, Input!$J$2:$J$500, 0),
       MATCH("Disk Capacity", Input!$D$1:$AD$1, 0))</f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AC159">IFERROR(IF(_xlfn.XLOOKUP(B159,Input!J:J,Input!N:V)=0,"",
          _xlfn.XLOOKUP(B159,Input!J:J,Input!N:V)),"")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s="13" t="str">
        <v/>
      </c>
      <c r="AB159" s="13" t="str">
        <v/>
      </c>
      <c r="AC159" s="13" t="str">
        <v/>
      </c>
      <c r="AD159" t="str">
        <f t="shared" si="8"/>
        <v/>
      </c>
      <c r="AE159" t="str">
        <f>_xlfn.XLOOKUP(B:B,Disk_Pivot!G:G,Disk_Pivot!I:I)</f>
        <v>No</v>
      </c>
      <c r="AF159" t="str">
        <f>_xlfn.XLOOKUP(B159,Disk_Pivot!G:G,Disk_Pivot!N:N)</f>
        <v/>
      </c>
    </row>
    <row r="160" spans="6:32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Q160" t="e">
        <f>INDEX(Input!$D$2:$AD$500,
       MATCH(B160, Input!$J$2:$J$500, 0),
       MATCH("Disk Capacity", Input!$D$1:$AD$1, 0))</f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AC160">IFERROR(IF(_xlfn.XLOOKUP(B160,Input!J:J,Input!N:V)=0,"",
          _xlfn.XLOOKUP(B160,Input!J:J,Input!N:V)),"")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s="13" t="str">
        <v/>
      </c>
      <c r="AB160" s="13" t="str">
        <v/>
      </c>
      <c r="AC160" s="13" t="str">
        <v/>
      </c>
      <c r="AD160" t="str">
        <f t="shared" si="8"/>
        <v/>
      </c>
      <c r="AE160" t="str">
        <f>_xlfn.XLOOKUP(B:B,Disk_Pivot!G:G,Disk_Pivot!I:I)</f>
        <v>No</v>
      </c>
      <c r="AF160" t="str">
        <f>_xlfn.XLOOKUP(B160,Disk_Pivot!G:G,Disk_Pivot!N:N)</f>
        <v/>
      </c>
    </row>
    <row r="161" spans="6:32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Q161" t="e">
        <f>INDEX(Input!$D$2:$AD$500,
       MATCH(B161, Input!$J$2:$J$500, 0),
       MATCH("Disk Capacity", Input!$D$1:$AD$1, 0))</f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AC161">IFERROR(IF(_xlfn.XLOOKUP(B161,Input!J:J,Input!N:V)=0,"",
          _xlfn.XLOOKUP(B161,Input!J:J,Input!N:V)),"")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s="13" t="str">
        <v/>
      </c>
      <c r="AB161" s="13" t="str">
        <v/>
      </c>
      <c r="AC161" s="13" t="str">
        <v/>
      </c>
      <c r="AD161" t="str">
        <f t="shared" si="8"/>
        <v/>
      </c>
      <c r="AE161" t="str">
        <f>_xlfn.XLOOKUP(B:B,Disk_Pivot!G:G,Disk_Pivot!I:I)</f>
        <v>No</v>
      </c>
      <c r="AF161" t="str">
        <f>_xlfn.XLOOKUP(B161,Disk_Pivot!G:G,Disk_Pivot!N:N)</f>
        <v/>
      </c>
    </row>
    <row r="162" spans="6:32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Q162" t="e">
        <f>INDEX(Input!$D$2:$AD$500,
       MATCH(B162, Input!$J$2:$J$500, 0),
       MATCH("Disk Capacity", Input!$D$1:$AD$1, 0))</f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AC162">IFERROR(IF(_xlfn.XLOOKUP(B162,Input!J:J,Input!N:V)=0,"",
          _xlfn.XLOOKUP(B162,Input!J:J,Input!N:V)),"")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s="13" t="str">
        <v/>
      </c>
      <c r="AB162" s="13" t="str">
        <v/>
      </c>
      <c r="AC162" s="13" t="str">
        <v/>
      </c>
      <c r="AD162" t="str">
        <f t="shared" si="8"/>
        <v/>
      </c>
      <c r="AE162" t="str">
        <f>_xlfn.XLOOKUP(B:B,Disk_Pivot!G:G,Disk_Pivot!I:I)</f>
        <v>No</v>
      </c>
      <c r="AF162" t="str">
        <f>_xlfn.XLOOKUP(B162,Disk_Pivot!G:G,Disk_Pivot!N:N)</f>
        <v/>
      </c>
    </row>
    <row r="163" spans="6:32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AC163">IFERROR(IF(_xlfn.XLOOKUP(B163,Input!J:J,Input!N:V)=0,"",
          _xlfn.XLOOKUP(B163,Input!J:J,Input!N:V)),"")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s="13" t="str">
        <v/>
      </c>
      <c r="AB163" s="13" t="str">
        <v/>
      </c>
      <c r="AC163" s="13" t="str">
        <v/>
      </c>
      <c r="AD163" t="str">
        <f t="shared" si="8"/>
        <v/>
      </c>
      <c r="AE163" t="str">
        <f>_xlfn.XLOOKUP(B:B,Disk_Pivot!G:G,Disk_Pivot!I:I)</f>
        <v>No</v>
      </c>
      <c r="AF163" t="str">
        <f>_xlfn.XLOOKUP(B163,Disk_Pivot!G:G,Disk_Pivot!N:N)</f>
        <v/>
      </c>
    </row>
    <row r="164" spans="6:32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AC164">IFERROR(IF(_xlfn.XLOOKUP(B164,Input!J:J,Input!N:V)=0,"",
          _xlfn.XLOOKUP(B164,Input!J:J,Input!N:V)),"")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s="13" t="str">
        <v/>
      </c>
      <c r="AB164" s="13" t="str">
        <v/>
      </c>
      <c r="AC164" s="13" t="str">
        <v/>
      </c>
      <c r="AD164" t="str">
        <f t="shared" si="8"/>
        <v/>
      </c>
      <c r="AE164" t="str">
        <f>_xlfn.XLOOKUP(B:B,Disk_Pivot!G:G,Disk_Pivot!I:I)</f>
        <v>No</v>
      </c>
      <c r="AF164" t="str">
        <f>_xlfn.XLOOKUP(B164,Disk_Pivot!G:G,Disk_Pivot!N:N)</f>
        <v/>
      </c>
    </row>
    <row r="165" spans="6:32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AC165">IFERROR(IF(_xlfn.XLOOKUP(B165,Input!J:J,Input!N:V)=0,"",
          _xlfn.XLOOKUP(B165,Input!J:J,Input!N:V)),"")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s="13" t="str">
        <v/>
      </c>
      <c r="AB165" s="13" t="str">
        <v/>
      </c>
      <c r="AC165" s="13" t="str">
        <v/>
      </c>
      <c r="AD165" t="str">
        <f t="shared" si="8"/>
        <v/>
      </c>
      <c r="AE165" t="str">
        <f>_xlfn.XLOOKUP(B:B,Disk_Pivot!G:G,Disk_Pivot!I:I)</f>
        <v>No</v>
      </c>
      <c r="AF165" t="str">
        <f>_xlfn.XLOOKUP(B165,Disk_Pivot!G:G,Disk_Pivot!N:N)</f>
        <v/>
      </c>
    </row>
    <row r="166" spans="6:32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AC166">IFERROR(IF(_xlfn.XLOOKUP(B166,Input!J:J,Input!N:V)=0,"",
          _xlfn.XLOOKUP(B166,Input!J:J,Input!N:V)),"")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s="13" t="str">
        <v/>
      </c>
      <c r="AB166" s="13" t="str">
        <v/>
      </c>
      <c r="AC166" s="13" t="str">
        <v/>
      </c>
      <c r="AD166" t="str">
        <f t="shared" si="8"/>
        <v/>
      </c>
      <c r="AE166" t="str">
        <f>_xlfn.XLOOKUP(B:B,Disk_Pivot!G:G,Disk_Pivot!I:I)</f>
        <v>No</v>
      </c>
      <c r="AF166" t="str">
        <f>_xlfn.XLOOKUP(B166,Disk_Pivot!G:G,Disk_Pivot!N:N)</f>
        <v/>
      </c>
    </row>
    <row r="167" spans="6:32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AC167">IFERROR(IF(_xlfn.XLOOKUP(B167,Input!J:J,Input!N:V)=0,"",
          _xlfn.XLOOKUP(B167,Input!J:J,Input!N:V)),"")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s="13" t="str">
        <v/>
      </c>
      <c r="AB167" s="13" t="str">
        <v/>
      </c>
      <c r="AC167" s="13" t="str">
        <v/>
      </c>
      <c r="AD167" t="str">
        <f t="shared" si="8"/>
        <v/>
      </c>
      <c r="AE167" t="str">
        <f>_xlfn.XLOOKUP(B:B,Disk_Pivot!G:G,Disk_Pivot!I:I)</f>
        <v>No</v>
      </c>
      <c r="AF167" t="str">
        <f>_xlfn.XLOOKUP(B167,Disk_Pivot!G:G,Disk_Pivot!N:N)</f>
        <v/>
      </c>
    </row>
    <row r="168" spans="6:32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AC168">IFERROR(IF(_xlfn.XLOOKUP(B168,Input!J:J,Input!N:V)=0,"",
          _xlfn.XLOOKUP(B168,Input!J:J,Input!N:V)),"")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s="13" t="str">
        <v/>
      </c>
      <c r="AB168" s="13" t="str">
        <v/>
      </c>
      <c r="AC168" s="13" t="str">
        <v/>
      </c>
      <c r="AD168" t="str">
        <f t="shared" si="8"/>
        <v/>
      </c>
      <c r="AE168" t="str">
        <f>_xlfn.XLOOKUP(B:B,Disk_Pivot!G:G,Disk_Pivot!I:I)</f>
        <v>No</v>
      </c>
      <c r="AF168" t="str">
        <f>_xlfn.XLOOKUP(B168,Disk_Pivot!G:G,Disk_Pivot!N:N)</f>
        <v/>
      </c>
    </row>
    <row r="169" spans="6:32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AC169">IFERROR(IF(_xlfn.XLOOKUP(B169,Input!J:J,Input!N:V)=0,"",
          _xlfn.XLOOKUP(B169,Input!J:J,Input!N:V)),"")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s="13" t="str">
        <v/>
      </c>
      <c r="AB169" s="13" t="str">
        <v/>
      </c>
      <c r="AC169" s="13" t="str">
        <v/>
      </c>
      <c r="AD169" t="str">
        <f t="shared" si="8"/>
        <v/>
      </c>
      <c r="AE169" t="str">
        <f>_xlfn.XLOOKUP(B:B,Disk_Pivot!G:G,Disk_Pivot!I:I)</f>
        <v>No</v>
      </c>
      <c r="AF169" t="str">
        <f>_xlfn.XLOOKUP(B169,Disk_Pivot!G:G,Disk_Pivot!N:N)</f>
        <v/>
      </c>
    </row>
    <row r="170" spans="6:32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AC170">IFERROR(IF(_xlfn.XLOOKUP(B170,Input!J:J,Input!N:V)=0,"",
          _xlfn.XLOOKUP(B170,Input!J:J,Input!N:V)),"")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s="13" t="str">
        <v/>
      </c>
      <c r="AB170" s="13" t="str">
        <v/>
      </c>
      <c r="AC170" s="13" t="str">
        <v/>
      </c>
      <c r="AD170" t="str">
        <f t="shared" si="8"/>
        <v/>
      </c>
      <c r="AE170" t="str">
        <f>_xlfn.XLOOKUP(B:B,Disk_Pivot!G:G,Disk_Pivot!I:I)</f>
        <v>No</v>
      </c>
      <c r="AF170" t="str">
        <f>_xlfn.XLOOKUP(B170,Disk_Pivot!G:G,Disk_Pivot!N:N)</f>
        <v/>
      </c>
    </row>
    <row r="171" spans="6:32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AC171">IFERROR(IF(_xlfn.XLOOKUP(B171,Input!J:J,Input!N:V)=0,"",
          _xlfn.XLOOKUP(B171,Input!J:J,Input!N:V)),"")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s="13" t="str">
        <v/>
      </c>
      <c r="AB171" s="13" t="str">
        <v/>
      </c>
      <c r="AC171" s="13" t="str">
        <v/>
      </c>
      <c r="AD171" t="str">
        <f t="shared" si="8"/>
        <v/>
      </c>
      <c r="AE171" t="str">
        <f>_xlfn.XLOOKUP(B:B,Disk_Pivot!G:G,Disk_Pivot!I:I)</f>
        <v>No</v>
      </c>
      <c r="AF171" t="str">
        <f>_xlfn.XLOOKUP(B171,Disk_Pivot!G:G,Disk_Pivot!N:N)</f>
        <v/>
      </c>
    </row>
    <row r="172" spans="6:32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AC172">IFERROR(IF(_xlfn.XLOOKUP(B172,Input!J:J,Input!N:V)=0,"",
          _xlfn.XLOOKUP(B172,Input!J:J,Input!N:V)),"")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s="13" t="str">
        <v/>
      </c>
      <c r="AB172" s="13" t="str">
        <v/>
      </c>
      <c r="AC172" s="13" t="str">
        <v/>
      </c>
      <c r="AD172" t="str">
        <f t="shared" si="8"/>
        <v/>
      </c>
      <c r="AE172" t="str">
        <f>_xlfn.XLOOKUP(B:B,Disk_Pivot!G:G,Disk_Pivot!I:I)</f>
        <v>No</v>
      </c>
      <c r="AF172" t="str">
        <f>_xlfn.XLOOKUP(B172,Disk_Pivot!G:G,Disk_Pivot!N:N)</f>
        <v/>
      </c>
    </row>
    <row r="173" spans="6:32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AC173">IFERROR(IF(_xlfn.XLOOKUP(B173,Input!J:J,Input!N:V)=0,"",
          _xlfn.XLOOKUP(B173,Input!J:J,Input!N:V)),"")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s="13" t="str">
        <v/>
      </c>
      <c r="AB173" s="13" t="str">
        <v/>
      </c>
      <c r="AC173" s="13" t="str">
        <v/>
      </c>
      <c r="AD173" t="str">
        <f t="shared" si="8"/>
        <v/>
      </c>
      <c r="AE173" t="str">
        <f>_xlfn.XLOOKUP(B:B,Disk_Pivot!G:G,Disk_Pivot!I:I)</f>
        <v>No</v>
      </c>
      <c r="AF173" t="str">
        <f>_xlfn.XLOOKUP(B173,Disk_Pivot!G:G,Disk_Pivot!N:N)</f>
        <v/>
      </c>
    </row>
    <row r="174" spans="6:32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AC174">IFERROR(IF(_xlfn.XLOOKUP(B174,Input!J:J,Input!N:V)=0,"",
          _xlfn.XLOOKUP(B174,Input!J:J,Input!N:V)),"")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s="13" t="str">
        <v/>
      </c>
      <c r="AB174" s="13" t="str">
        <v/>
      </c>
      <c r="AC174" s="13" t="str">
        <v/>
      </c>
      <c r="AD174" t="str">
        <f t="shared" si="8"/>
        <v/>
      </c>
      <c r="AE174" t="str">
        <f>_xlfn.XLOOKUP(B:B,Disk_Pivot!G:G,Disk_Pivot!I:I)</f>
        <v>No</v>
      </c>
      <c r="AF174" t="str">
        <f>_xlfn.XLOOKUP(B174,Disk_Pivot!G:G,Disk_Pivot!N:N)</f>
        <v/>
      </c>
    </row>
    <row r="175" spans="6:32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AC175">IFERROR(IF(_xlfn.XLOOKUP(B175,Input!J:J,Input!N:V)=0,"",
          _xlfn.XLOOKUP(B175,Input!J:J,Input!N:V)),"")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s="13" t="str">
        <v/>
      </c>
      <c r="AB175" s="13" t="str">
        <v/>
      </c>
      <c r="AC175" s="13" t="str">
        <v/>
      </c>
      <c r="AD175" t="str">
        <f t="shared" si="8"/>
        <v/>
      </c>
      <c r="AE175" t="str">
        <f>_xlfn.XLOOKUP(B:B,Disk_Pivot!G:G,Disk_Pivot!I:I)</f>
        <v>No</v>
      </c>
      <c r="AF175" t="str">
        <f>_xlfn.XLOOKUP(B175,Disk_Pivot!G:G,Disk_Pivot!N:N)</f>
        <v/>
      </c>
    </row>
    <row r="176" spans="6:32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AC176">IFERROR(IF(_xlfn.XLOOKUP(B176,Input!J:J,Input!N:V)=0,"",
          _xlfn.XLOOKUP(B176,Input!J:J,Input!N:V)),"")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s="13" t="str">
        <v/>
      </c>
      <c r="AB176" s="13" t="str">
        <v/>
      </c>
      <c r="AC176" s="13" t="str">
        <v/>
      </c>
      <c r="AD176" t="str">
        <f t="shared" si="8"/>
        <v/>
      </c>
      <c r="AE176" t="str">
        <f>_xlfn.XLOOKUP(B:B,Disk_Pivot!G:G,Disk_Pivot!I:I)</f>
        <v>No</v>
      </c>
      <c r="AF176" t="str">
        <f>_xlfn.XLOOKUP(B176,Disk_Pivot!G:G,Disk_Pivot!N:N)</f>
        <v/>
      </c>
    </row>
    <row r="177" spans="6:32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AC177">IFERROR(IF(_xlfn.XLOOKUP(B177,Input!J:J,Input!N:V)=0,"",
          _xlfn.XLOOKUP(B177,Input!J:J,Input!N:V)),"")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s="13" t="str">
        <v/>
      </c>
      <c r="AB177" s="13" t="str">
        <v/>
      </c>
      <c r="AC177" s="13" t="str">
        <v/>
      </c>
      <c r="AD177" t="str">
        <f t="shared" si="8"/>
        <v/>
      </c>
      <c r="AE177" t="str">
        <f>_xlfn.XLOOKUP(B:B,Disk_Pivot!G:G,Disk_Pivot!I:I)</f>
        <v>No</v>
      </c>
      <c r="AF177" t="str">
        <f>_xlfn.XLOOKUP(B177,Disk_Pivot!G:G,Disk_Pivot!N:N)</f>
        <v/>
      </c>
    </row>
    <row r="178" spans="6:32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AC178">IFERROR(IF(_xlfn.XLOOKUP(B178,Input!J:J,Input!N:V)=0,"",
          _xlfn.XLOOKUP(B178,Input!J:J,Input!N:V)),"")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s="13" t="str">
        <v/>
      </c>
      <c r="AB178" s="13" t="str">
        <v/>
      </c>
      <c r="AC178" s="13" t="str">
        <v/>
      </c>
      <c r="AD178" t="str">
        <f t="shared" si="8"/>
        <v/>
      </c>
      <c r="AE178" t="str">
        <f>_xlfn.XLOOKUP(B:B,Disk_Pivot!G:G,Disk_Pivot!I:I)</f>
        <v>No</v>
      </c>
      <c r="AF178" t="str">
        <f>_xlfn.XLOOKUP(B178,Disk_Pivot!G:G,Disk_Pivot!N:N)</f>
        <v/>
      </c>
    </row>
    <row r="179" spans="6:32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AC179">IFERROR(IF(_xlfn.XLOOKUP(B179,Input!J:J,Input!N:V)=0,"",
          _xlfn.XLOOKUP(B179,Input!J:J,Input!N:V)),"")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s="13" t="str">
        <v/>
      </c>
      <c r="AB179" s="13" t="str">
        <v/>
      </c>
      <c r="AC179" s="13" t="str">
        <v/>
      </c>
      <c r="AD179" t="str">
        <f t="shared" si="8"/>
        <v/>
      </c>
      <c r="AE179" t="str">
        <f>_xlfn.XLOOKUP(B:B,Disk_Pivot!G:G,Disk_Pivot!I:I)</f>
        <v>No</v>
      </c>
      <c r="AF179" t="str">
        <f>_xlfn.XLOOKUP(B179,Disk_Pivot!G:G,Disk_Pivot!N:N)</f>
        <v/>
      </c>
    </row>
    <row r="180" spans="6:32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AC180">IFERROR(IF(_xlfn.XLOOKUP(B180,Input!J:J,Input!N:V)=0,"",
          _xlfn.XLOOKUP(B180,Input!J:J,Input!N:V)),"")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s="13" t="str">
        <v/>
      </c>
      <c r="AB180" s="13" t="str">
        <v/>
      </c>
      <c r="AC180" s="13" t="str">
        <v/>
      </c>
      <c r="AD180" t="str">
        <f t="shared" si="8"/>
        <v/>
      </c>
      <c r="AE180" t="str">
        <f>_xlfn.XLOOKUP(B:B,Disk_Pivot!G:G,Disk_Pivot!I:I)</f>
        <v>No</v>
      </c>
      <c r="AF180" t="str">
        <f>_xlfn.XLOOKUP(B180,Disk_Pivot!G:G,Disk_Pivot!N:N)</f>
        <v/>
      </c>
    </row>
    <row r="181" spans="6:32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AC181">IFERROR(IF(_xlfn.XLOOKUP(B181,Input!J:J,Input!N:V)=0,"",
          _xlfn.XLOOKUP(B181,Input!J:J,Input!N:V)),"")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s="13" t="str">
        <v/>
      </c>
      <c r="AB181" s="13" t="str">
        <v/>
      </c>
      <c r="AC181" s="13" t="str">
        <v/>
      </c>
      <c r="AD181" t="str">
        <f t="shared" si="8"/>
        <v/>
      </c>
      <c r="AE181" t="str">
        <f>_xlfn.XLOOKUP(B:B,Disk_Pivot!G:G,Disk_Pivot!I:I)</f>
        <v>No</v>
      </c>
      <c r="AF181" t="str">
        <f>_xlfn.XLOOKUP(B181,Disk_Pivot!G:G,Disk_Pivot!N:N)</f>
        <v/>
      </c>
    </row>
    <row r="182" spans="6:32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AC182">IFERROR(IF(_xlfn.XLOOKUP(B182,Input!J:J,Input!N:V)=0,"",
          _xlfn.XLOOKUP(B182,Input!J:J,Input!N:V)),"")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s="13" t="str">
        <v/>
      </c>
      <c r="AB182" s="13" t="str">
        <v/>
      </c>
      <c r="AC182" s="13" t="str">
        <v/>
      </c>
      <c r="AD182" t="str">
        <f t="shared" si="8"/>
        <v/>
      </c>
      <c r="AE182" t="str">
        <f>_xlfn.XLOOKUP(B:B,Disk_Pivot!G:G,Disk_Pivot!I:I)</f>
        <v>No</v>
      </c>
      <c r="AF182" t="str">
        <f>_xlfn.XLOOKUP(B182,Disk_Pivot!G:G,Disk_Pivot!N:N)</f>
        <v/>
      </c>
    </row>
    <row r="183" spans="6:32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AC183">IFERROR(IF(_xlfn.XLOOKUP(B183,Input!J:J,Input!N:V)=0,"",
          _xlfn.XLOOKUP(B183,Input!J:J,Input!N:V)),"")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s="13" t="str">
        <v/>
      </c>
      <c r="AB183" s="13" t="str">
        <v/>
      </c>
      <c r="AC183" s="13" t="str">
        <v/>
      </c>
      <c r="AD183" t="str">
        <f t="shared" si="8"/>
        <v/>
      </c>
      <c r="AE183" t="str">
        <f>_xlfn.XLOOKUP(B:B,Disk_Pivot!G:G,Disk_Pivot!I:I)</f>
        <v>No</v>
      </c>
      <c r="AF183" t="str">
        <f>_xlfn.XLOOKUP(B183,Disk_Pivot!G:G,Disk_Pivot!N:N)</f>
        <v/>
      </c>
    </row>
    <row r="184" spans="6:32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AC184">IFERROR(IF(_xlfn.XLOOKUP(B184,Input!J:J,Input!N:V)=0,"",
          _xlfn.XLOOKUP(B184,Input!J:J,Input!N:V)),"")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s="13" t="str">
        <v/>
      </c>
      <c r="AB184" s="13" t="str">
        <v/>
      </c>
      <c r="AC184" s="13" t="str">
        <v/>
      </c>
      <c r="AD184" t="str">
        <f t="shared" si="8"/>
        <v/>
      </c>
      <c r="AE184" t="str">
        <f>_xlfn.XLOOKUP(B:B,Disk_Pivot!G:G,Disk_Pivot!I:I)</f>
        <v>No</v>
      </c>
      <c r="AF184" t="str">
        <f>_xlfn.XLOOKUP(B184,Disk_Pivot!G:G,Disk_Pivot!N:N)</f>
        <v/>
      </c>
    </row>
    <row r="185" spans="6:32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AC185">IFERROR(IF(_xlfn.XLOOKUP(B185,Input!J:J,Input!N:V)=0,"",
          _xlfn.XLOOKUP(B185,Input!J:J,Input!N:V)),"")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s="13" t="str">
        <v/>
      </c>
      <c r="AB185" s="13" t="str">
        <v/>
      </c>
      <c r="AC185" s="13" t="str">
        <v/>
      </c>
      <c r="AD185" t="str">
        <f t="shared" si="8"/>
        <v/>
      </c>
      <c r="AE185" t="str">
        <f>_xlfn.XLOOKUP(B:B,Disk_Pivot!G:G,Disk_Pivot!I:I)</f>
        <v>No</v>
      </c>
      <c r="AF185" t="str">
        <f>_xlfn.XLOOKUP(B185,Disk_Pivot!G:G,Disk_Pivot!N:N)</f>
        <v/>
      </c>
    </row>
    <row r="186" spans="6:32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AC186">IFERROR(IF(_xlfn.XLOOKUP(B186,Input!J:J,Input!N:V)=0,"",
          _xlfn.XLOOKUP(B186,Input!J:J,Input!N:V)),"")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s="13" t="str">
        <v/>
      </c>
      <c r="AB186" s="13" t="str">
        <v/>
      </c>
      <c r="AC186" s="13" t="str">
        <v/>
      </c>
      <c r="AD186" t="str">
        <f t="shared" si="8"/>
        <v/>
      </c>
      <c r="AE186" t="str">
        <f>_xlfn.XLOOKUP(B:B,Disk_Pivot!G:G,Disk_Pivot!I:I)</f>
        <v>No</v>
      </c>
      <c r="AF186" t="str">
        <f>_xlfn.XLOOKUP(B186,Disk_Pivot!G:G,Disk_Pivot!N:N)</f>
        <v/>
      </c>
    </row>
    <row r="187" spans="6:32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AC187">IFERROR(IF(_xlfn.XLOOKUP(B187,Input!J:J,Input!N:V)=0,"",
          _xlfn.XLOOKUP(B187,Input!J:J,Input!N:V)),"")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s="13" t="str">
        <v/>
      </c>
      <c r="AB187" s="13" t="str">
        <v/>
      </c>
      <c r="AC187" s="13" t="str">
        <v/>
      </c>
      <c r="AD187" t="str">
        <f t="shared" si="8"/>
        <v/>
      </c>
      <c r="AE187" t="str">
        <f>_xlfn.XLOOKUP(B:B,Disk_Pivot!G:G,Disk_Pivot!I:I)</f>
        <v>No</v>
      </c>
      <c r="AF187" t="str">
        <f>_xlfn.XLOOKUP(B187,Disk_Pivot!G:G,Disk_Pivot!N:N)</f>
        <v/>
      </c>
    </row>
    <row r="188" spans="6:32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AC188">IFERROR(IF(_xlfn.XLOOKUP(B188,Input!J:J,Input!N:V)=0,"",
          _xlfn.XLOOKUP(B188,Input!J:J,Input!N:V)),"")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s="13" t="str">
        <v/>
      </c>
      <c r="AB188" s="13" t="str">
        <v/>
      </c>
      <c r="AC188" s="13" t="str">
        <v/>
      </c>
      <c r="AD188" t="str">
        <f t="shared" si="8"/>
        <v/>
      </c>
      <c r="AE188" t="str">
        <f>_xlfn.XLOOKUP(B:B,Disk_Pivot!G:G,Disk_Pivot!I:I)</f>
        <v>No</v>
      </c>
      <c r="AF188" t="str">
        <f>_xlfn.XLOOKUP(B188,Disk_Pivot!G:G,Disk_Pivot!N:N)</f>
        <v/>
      </c>
    </row>
    <row r="189" spans="6:32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AC189">IFERROR(IF(_xlfn.XLOOKUP(B189,Input!J:J,Input!N:V)=0,"",
          _xlfn.XLOOKUP(B189,Input!J:J,Input!N:V)),"")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s="13" t="str">
        <v/>
      </c>
      <c r="AB189" s="13" t="str">
        <v/>
      </c>
      <c r="AC189" s="13" t="str">
        <v/>
      </c>
      <c r="AD189" t="str">
        <f t="shared" si="8"/>
        <v/>
      </c>
      <c r="AE189" t="str">
        <f>_xlfn.XLOOKUP(B:B,Disk_Pivot!G:G,Disk_Pivot!I:I)</f>
        <v>No</v>
      </c>
      <c r="AF189" t="str">
        <f>_xlfn.XLOOKUP(B189,Disk_Pivot!G:G,Disk_Pivot!N:N)</f>
        <v/>
      </c>
    </row>
    <row r="190" spans="6:32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AC190">IFERROR(IF(_xlfn.XLOOKUP(B190,Input!J:J,Input!N:V)=0,"",
          _xlfn.XLOOKUP(B190,Input!J:J,Input!N:V)),"")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s="13" t="str">
        <v/>
      </c>
      <c r="AB190" s="13" t="str">
        <v/>
      </c>
      <c r="AC190" s="13" t="str">
        <v/>
      </c>
      <c r="AD190" t="str">
        <f t="shared" si="8"/>
        <v/>
      </c>
      <c r="AE190" t="str">
        <f>_xlfn.XLOOKUP(B:B,Disk_Pivot!G:G,Disk_Pivot!I:I)</f>
        <v>No</v>
      </c>
      <c r="AF190" t="str">
        <f>_xlfn.XLOOKUP(B190,Disk_Pivot!G:G,Disk_Pivot!N:N)</f>
        <v/>
      </c>
    </row>
    <row r="191" spans="6:32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AC191">IFERROR(IF(_xlfn.XLOOKUP(B191,Input!J:J,Input!N:V)=0,"",
          _xlfn.XLOOKUP(B191,Input!J:J,Input!N:V)),"")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s="13" t="str">
        <v/>
      </c>
      <c r="AB191" s="13" t="str">
        <v/>
      </c>
      <c r="AC191" s="13" t="str">
        <v/>
      </c>
      <c r="AD191" t="str">
        <f t="shared" si="8"/>
        <v/>
      </c>
      <c r="AE191" t="str">
        <f>_xlfn.XLOOKUP(B:B,Disk_Pivot!G:G,Disk_Pivot!I:I)</f>
        <v>No</v>
      </c>
      <c r="AF191" t="str">
        <f>_xlfn.XLOOKUP(B191,Disk_Pivot!G:G,Disk_Pivot!N:N)</f>
        <v/>
      </c>
    </row>
    <row r="192" spans="6:32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AC192">IFERROR(IF(_xlfn.XLOOKUP(B192,Input!J:J,Input!N:V)=0,"",
          _xlfn.XLOOKUP(B192,Input!J:J,Input!N:V)),"")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s="13" t="str">
        <v/>
      </c>
      <c r="AB192" s="13" t="str">
        <v/>
      </c>
      <c r="AC192" s="13" t="str">
        <v/>
      </c>
      <c r="AD192" t="str">
        <f t="shared" si="8"/>
        <v/>
      </c>
      <c r="AE192" t="str">
        <f>_xlfn.XLOOKUP(B:B,Disk_Pivot!G:G,Disk_Pivot!I:I)</f>
        <v>No</v>
      </c>
      <c r="AF192" t="str">
        <f>_xlfn.XLOOKUP(B192,Disk_Pivot!G:G,Disk_Pivot!N:N)</f>
        <v/>
      </c>
    </row>
    <row r="193" spans="6:32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AC193">IFERROR(IF(_xlfn.XLOOKUP(B193,Input!J:J,Input!N:V)=0,"",
          _xlfn.XLOOKUP(B193,Input!J:J,Input!N:V)),"")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s="13" t="str">
        <v/>
      </c>
      <c r="AB193" s="13" t="str">
        <v/>
      </c>
      <c r="AC193" s="13" t="str">
        <v/>
      </c>
      <c r="AD193" t="str">
        <f t="shared" si="8"/>
        <v/>
      </c>
      <c r="AE193" t="str">
        <f>_xlfn.XLOOKUP(B:B,Disk_Pivot!G:G,Disk_Pivot!I:I)</f>
        <v>No</v>
      </c>
      <c r="AF193" t="str">
        <f>_xlfn.XLOOKUP(B193,Disk_Pivot!G:G,Disk_Pivot!N:N)</f>
        <v/>
      </c>
    </row>
    <row r="194" spans="6:32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AC194">IFERROR(IF(_xlfn.XLOOKUP(B194,Input!J:J,Input!N:V)=0,"",
          _xlfn.XLOOKUP(B194,Input!J:J,Input!N:V)),"")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s="13" t="str">
        <v/>
      </c>
      <c r="AB194" s="13" t="str">
        <v/>
      </c>
      <c r="AC194" s="13" t="str">
        <v/>
      </c>
      <c r="AD194" t="str">
        <f t="shared" si="8"/>
        <v/>
      </c>
      <c r="AE194" t="str">
        <f>_xlfn.XLOOKUP(B:B,Disk_Pivot!G:G,Disk_Pivot!I:I)</f>
        <v>No</v>
      </c>
      <c r="AF194" t="str">
        <f>_xlfn.XLOOKUP(B194,Disk_Pivot!G:G,Disk_Pivot!N:N)</f>
        <v/>
      </c>
    </row>
    <row r="195" spans="6:32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AC195">IFERROR(IF(_xlfn.XLOOKUP(B195,Input!J:J,Input!N:V)=0,"",
          _xlfn.XLOOKUP(B195,Input!J:J,Input!N:V)),"")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s="13" t="str">
        <v/>
      </c>
      <c r="AB195" s="13" t="str">
        <v/>
      </c>
      <c r="AC195" s="13" t="str">
        <v/>
      </c>
      <c r="AD195" t="str">
        <f t="shared" ref="AD195:AD256" si="10">_xlfn.TEXTJOIN(", ",TRUE,T195,U195,V195,W195,X195,Y195,Z195)</f>
        <v/>
      </c>
      <c r="AE195" t="str">
        <f>_xlfn.XLOOKUP(B:B,Disk_Pivot!G:G,Disk_Pivot!I:I)</f>
        <v>No</v>
      </c>
      <c r="AF195" t="str">
        <f>_xlfn.XLOOKUP(B195,Disk_Pivot!G:G,Disk_Pivot!N:N)</f>
        <v/>
      </c>
    </row>
    <row r="196" spans="6:32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AC196">IFERROR(IF(_xlfn.XLOOKUP(B196,Input!J:J,Input!N:V)=0,"",
          _xlfn.XLOOKUP(B196,Input!J:J,Input!N:V)),"")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s="13" t="str">
        <v/>
      </c>
      <c r="AB196" s="13" t="str">
        <v/>
      </c>
      <c r="AC196" s="13" t="str">
        <v/>
      </c>
      <c r="AD196" t="str">
        <f t="shared" si="10"/>
        <v/>
      </c>
      <c r="AE196" t="str">
        <f>_xlfn.XLOOKUP(B:B,Disk_Pivot!G:G,Disk_Pivot!I:I)</f>
        <v>No</v>
      </c>
      <c r="AF196" t="str">
        <f>_xlfn.XLOOKUP(B196,Disk_Pivot!G:G,Disk_Pivot!N:N)</f>
        <v/>
      </c>
    </row>
    <row r="197" spans="6:32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AC197">IFERROR(IF(_xlfn.XLOOKUP(B197,Input!J:J,Input!N:V)=0,"",
          _xlfn.XLOOKUP(B197,Input!J:J,Input!N:V)),"")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s="13" t="str">
        <v/>
      </c>
      <c r="AB197" s="13" t="str">
        <v/>
      </c>
      <c r="AC197" s="13" t="str">
        <v/>
      </c>
      <c r="AD197" t="str">
        <f t="shared" si="10"/>
        <v/>
      </c>
      <c r="AE197" t="str">
        <f>_xlfn.XLOOKUP(B:B,Disk_Pivot!G:G,Disk_Pivot!I:I)</f>
        <v>No</v>
      </c>
      <c r="AF197" t="str">
        <f>_xlfn.XLOOKUP(B197,Disk_Pivot!G:G,Disk_Pivot!N:N)</f>
        <v/>
      </c>
    </row>
    <row r="198" spans="6:32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AC198">IFERROR(IF(_xlfn.XLOOKUP(B198,Input!J:J,Input!N:V)=0,"",
          _xlfn.XLOOKUP(B198,Input!J:J,Input!N:V)),"")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s="13" t="str">
        <v/>
      </c>
      <c r="AB198" s="13" t="str">
        <v/>
      </c>
      <c r="AC198" s="13" t="str">
        <v/>
      </c>
      <c r="AD198" t="str">
        <f t="shared" si="10"/>
        <v/>
      </c>
      <c r="AE198" t="str">
        <f>_xlfn.XLOOKUP(B:B,Disk_Pivot!G:G,Disk_Pivot!I:I)</f>
        <v>No</v>
      </c>
      <c r="AF198" t="str">
        <f>_xlfn.XLOOKUP(B198,Disk_Pivot!G:G,Disk_Pivot!N:N)</f>
        <v/>
      </c>
    </row>
    <row r="199" spans="6:32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AC199">IFERROR(IF(_xlfn.XLOOKUP(B199,Input!J:J,Input!N:V)=0,"",
          _xlfn.XLOOKUP(B199,Input!J:J,Input!N:V)),"")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s="13" t="str">
        <v/>
      </c>
      <c r="AB199" s="13" t="str">
        <v/>
      </c>
      <c r="AC199" s="13" t="str">
        <v/>
      </c>
      <c r="AD199" t="str">
        <f t="shared" si="10"/>
        <v/>
      </c>
      <c r="AE199" t="str">
        <f>_xlfn.XLOOKUP(B:B,Disk_Pivot!G:G,Disk_Pivot!I:I)</f>
        <v>No</v>
      </c>
      <c r="AF199" t="str">
        <f>_xlfn.XLOOKUP(B199,Disk_Pivot!G:G,Disk_Pivot!N:N)</f>
        <v/>
      </c>
    </row>
    <row r="200" spans="6:32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AC200">IFERROR(IF(_xlfn.XLOOKUP(B200,Input!J:J,Input!N:V)=0,"",
          _xlfn.XLOOKUP(B200,Input!J:J,Input!N:V)),"")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s="13" t="str">
        <v/>
      </c>
      <c r="AB200" s="13" t="str">
        <v/>
      </c>
      <c r="AC200" s="13" t="str">
        <v/>
      </c>
      <c r="AD200" t="str">
        <f t="shared" si="10"/>
        <v/>
      </c>
      <c r="AE200" t="str">
        <f>_xlfn.XLOOKUP(B:B,Disk_Pivot!G:G,Disk_Pivot!I:I)</f>
        <v>No</v>
      </c>
      <c r="AF200" t="str">
        <f>_xlfn.XLOOKUP(B200,Disk_Pivot!G:G,Disk_Pivot!N:N)</f>
        <v/>
      </c>
    </row>
    <row r="201" spans="6:32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AC201">IFERROR(IF(_xlfn.XLOOKUP(B201,Input!J:J,Input!N:V)=0,"",
          _xlfn.XLOOKUP(B201,Input!J:J,Input!N:V)),"")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s="13" t="str">
        <v/>
      </c>
      <c r="AB201" s="13" t="str">
        <v/>
      </c>
      <c r="AC201" s="13" t="str">
        <v/>
      </c>
      <c r="AD201" t="str">
        <f t="shared" si="10"/>
        <v/>
      </c>
      <c r="AE201" t="str">
        <f>_xlfn.XLOOKUP(B:B,Disk_Pivot!G:G,Disk_Pivot!I:I)</f>
        <v>No</v>
      </c>
      <c r="AF201" t="str">
        <f>_xlfn.XLOOKUP(B201,Disk_Pivot!G:G,Disk_Pivot!N:N)</f>
        <v/>
      </c>
    </row>
    <row r="202" spans="6:32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AC202">IFERROR(IF(_xlfn.XLOOKUP(B202,Input!J:J,Input!N:V)=0,"",
          _xlfn.XLOOKUP(B202,Input!J:J,Input!N:V)),"")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s="13" t="str">
        <v/>
      </c>
      <c r="AB202" s="13" t="str">
        <v/>
      </c>
      <c r="AC202" s="13" t="str">
        <v/>
      </c>
      <c r="AD202" t="str">
        <f t="shared" si="10"/>
        <v/>
      </c>
      <c r="AE202" t="str">
        <f>_xlfn.XLOOKUP(B:B,Disk_Pivot!G:G,Disk_Pivot!I:I)</f>
        <v>No</v>
      </c>
      <c r="AF202" t="str">
        <f>_xlfn.XLOOKUP(B202,Disk_Pivot!G:G,Disk_Pivot!N:N)</f>
        <v/>
      </c>
    </row>
    <row r="203" spans="6:32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AC203">IFERROR(IF(_xlfn.XLOOKUP(B203,Input!J:J,Input!N:V)=0,"",
          _xlfn.XLOOKUP(B203,Input!J:J,Input!N:V)),"")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s="13" t="str">
        <v/>
      </c>
      <c r="AB203" s="13" t="str">
        <v/>
      </c>
      <c r="AC203" s="13" t="str">
        <v/>
      </c>
      <c r="AD203" t="str">
        <f t="shared" si="10"/>
        <v/>
      </c>
      <c r="AE203" t="str">
        <f>_xlfn.XLOOKUP(B:B,Disk_Pivot!G:G,Disk_Pivot!I:I)</f>
        <v>No</v>
      </c>
      <c r="AF203" t="str">
        <f>_xlfn.XLOOKUP(B203,Disk_Pivot!G:G,Disk_Pivot!N:N)</f>
        <v/>
      </c>
    </row>
    <row r="204" spans="6:32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AC204">IFERROR(IF(_xlfn.XLOOKUP(B204,Input!J:J,Input!N:V)=0,"",
          _xlfn.XLOOKUP(B204,Input!J:J,Input!N:V)),"")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s="13" t="str">
        <v/>
      </c>
      <c r="AB204" s="13" t="str">
        <v/>
      </c>
      <c r="AC204" s="13" t="str">
        <v/>
      </c>
      <c r="AD204" t="str">
        <f t="shared" si="10"/>
        <v/>
      </c>
      <c r="AE204" t="str">
        <f>_xlfn.XLOOKUP(B:B,Disk_Pivot!G:G,Disk_Pivot!I:I)</f>
        <v>No</v>
      </c>
      <c r="AF204" t="str">
        <f>_xlfn.XLOOKUP(B204,Disk_Pivot!G:G,Disk_Pivot!N:N)</f>
        <v/>
      </c>
    </row>
    <row r="205" spans="6:32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AC205">IFERROR(IF(_xlfn.XLOOKUP(B205,Input!J:J,Input!N:V)=0,"",
          _xlfn.XLOOKUP(B205,Input!J:J,Input!N:V)),"")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s="13" t="str">
        <v/>
      </c>
      <c r="AB205" s="13" t="str">
        <v/>
      </c>
      <c r="AC205" s="13" t="str">
        <v/>
      </c>
      <c r="AD205" t="str">
        <f t="shared" si="10"/>
        <v/>
      </c>
      <c r="AE205" t="str">
        <f>_xlfn.XLOOKUP(B:B,Disk_Pivot!G:G,Disk_Pivot!I:I)</f>
        <v>No</v>
      </c>
      <c r="AF205" t="str">
        <f>_xlfn.XLOOKUP(B205,Disk_Pivot!G:G,Disk_Pivot!N:N)</f>
        <v/>
      </c>
    </row>
    <row r="206" spans="6:32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AC206">IFERROR(IF(_xlfn.XLOOKUP(B206,Input!J:J,Input!N:V)=0,"",
          _xlfn.XLOOKUP(B206,Input!J:J,Input!N:V)),"")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s="13" t="str">
        <v/>
      </c>
      <c r="AB206" s="13" t="str">
        <v/>
      </c>
      <c r="AC206" s="13" t="str">
        <v/>
      </c>
      <c r="AD206" t="str">
        <f t="shared" si="10"/>
        <v/>
      </c>
      <c r="AE206" t="str">
        <f>_xlfn.XLOOKUP(B:B,Disk_Pivot!G:G,Disk_Pivot!I:I)</f>
        <v>No</v>
      </c>
      <c r="AF206" t="str">
        <f>_xlfn.XLOOKUP(B206,Disk_Pivot!G:G,Disk_Pivot!N:N)</f>
        <v/>
      </c>
    </row>
    <row r="207" spans="6:32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AC207">IFERROR(IF(_xlfn.XLOOKUP(B207,Input!J:J,Input!N:V)=0,"",
          _xlfn.XLOOKUP(B207,Input!J:J,Input!N:V)),"")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s="13" t="str">
        <v/>
      </c>
      <c r="AB207" s="13" t="str">
        <v/>
      </c>
      <c r="AC207" s="13" t="str">
        <v/>
      </c>
      <c r="AD207" t="str">
        <f t="shared" si="10"/>
        <v/>
      </c>
      <c r="AE207" t="str">
        <f>_xlfn.XLOOKUP(B:B,Disk_Pivot!G:G,Disk_Pivot!I:I)</f>
        <v>No</v>
      </c>
      <c r="AF207" t="str">
        <f>_xlfn.XLOOKUP(B207,Disk_Pivot!G:G,Disk_Pivot!N:N)</f>
        <v/>
      </c>
    </row>
    <row r="208" spans="6:32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AC208">IFERROR(IF(_xlfn.XLOOKUP(B208,Input!J:J,Input!N:V)=0,"",
          _xlfn.XLOOKUP(B208,Input!J:J,Input!N:V)),"")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s="13" t="str">
        <v/>
      </c>
      <c r="AB208" s="13" t="str">
        <v/>
      </c>
      <c r="AC208" s="13" t="str">
        <v/>
      </c>
      <c r="AD208" t="str">
        <f t="shared" si="10"/>
        <v/>
      </c>
      <c r="AE208" t="str">
        <f>_xlfn.XLOOKUP(B:B,Disk_Pivot!G:G,Disk_Pivot!I:I)</f>
        <v>No</v>
      </c>
      <c r="AF208" t="str">
        <f>_xlfn.XLOOKUP(B208,Disk_Pivot!G:G,Disk_Pivot!N:N)</f>
        <v/>
      </c>
    </row>
    <row r="209" spans="6:32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AC209">IFERROR(IF(_xlfn.XLOOKUP(B209,Input!J:J,Input!N:V)=0,"",
          _xlfn.XLOOKUP(B209,Input!J:J,Input!N:V)),"")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s="13" t="str">
        <v/>
      </c>
      <c r="AB209" s="13" t="str">
        <v/>
      </c>
      <c r="AC209" s="13" t="str">
        <v/>
      </c>
      <c r="AD209" t="str">
        <f t="shared" si="10"/>
        <v/>
      </c>
      <c r="AE209" t="str">
        <f>_xlfn.XLOOKUP(B:B,Disk_Pivot!G:G,Disk_Pivot!I:I)</f>
        <v>No</v>
      </c>
      <c r="AF209" t="str">
        <f>_xlfn.XLOOKUP(B209,Disk_Pivot!G:G,Disk_Pivot!N:N)</f>
        <v/>
      </c>
    </row>
    <row r="210" spans="6:32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AC210">IFERROR(IF(_xlfn.XLOOKUP(B210,Input!J:J,Input!N:V)=0,"",
          _xlfn.XLOOKUP(B210,Input!J:J,Input!N:V)),"")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s="13" t="str">
        <v/>
      </c>
      <c r="AB210" s="13" t="str">
        <v/>
      </c>
      <c r="AC210" s="13" t="str">
        <v/>
      </c>
      <c r="AD210" t="str">
        <f t="shared" si="10"/>
        <v/>
      </c>
      <c r="AE210" t="str">
        <f>_xlfn.XLOOKUP(B:B,Disk_Pivot!G:G,Disk_Pivot!I:I)</f>
        <v>No</v>
      </c>
      <c r="AF210" t="str">
        <f>_xlfn.XLOOKUP(B210,Disk_Pivot!G:G,Disk_Pivot!N:N)</f>
        <v/>
      </c>
    </row>
    <row r="211" spans="6:32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AC211">IFERROR(IF(_xlfn.XLOOKUP(B211,Input!J:J,Input!N:V)=0,"",
          _xlfn.XLOOKUP(B211,Input!J:J,Input!N:V)),"")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s="13" t="str">
        <v/>
      </c>
      <c r="AB211" s="13" t="str">
        <v/>
      </c>
      <c r="AC211" s="13" t="str">
        <v/>
      </c>
      <c r="AD211" t="str">
        <f t="shared" si="10"/>
        <v/>
      </c>
      <c r="AE211" t="str">
        <f>_xlfn.XLOOKUP(B:B,Disk_Pivot!G:G,Disk_Pivot!I:I)</f>
        <v>No</v>
      </c>
      <c r="AF211" t="str">
        <f>_xlfn.XLOOKUP(B211,Disk_Pivot!G:G,Disk_Pivot!N:N)</f>
        <v/>
      </c>
    </row>
    <row r="212" spans="6:32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AC212">IFERROR(IF(_xlfn.XLOOKUP(B212,Input!J:J,Input!N:V)=0,"",
          _xlfn.XLOOKUP(B212,Input!J:J,Input!N:V)),"")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s="13" t="str">
        <v/>
      </c>
      <c r="AB212" s="13" t="str">
        <v/>
      </c>
      <c r="AC212" s="13" t="str">
        <v/>
      </c>
      <c r="AD212" t="str">
        <f t="shared" si="10"/>
        <v/>
      </c>
      <c r="AE212" t="str">
        <f>_xlfn.XLOOKUP(B:B,Disk_Pivot!G:G,Disk_Pivot!I:I)</f>
        <v>No</v>
      </c>
      <c r="AF212" t="str">
        <f>_xlfn.XLOOKUP(B212,Disk_Pivot!G:G,Disk_Pivot!N:N)</f>
        <v/>
      </c>
    </row>
    <row r="213" spans="6:32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AC213">IFERROR(IF(_xlfn.XLOOKUP(B213,Input!J:J,Input!N:V)=0,"",
          _xlfn.XLOOKUP(B213,Input!J:J,Input!N:V)),"")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s="13" t="str">
        <v/>
      </c>
      <c r="AB213" s="13" t="str">
        <v/>
      </c>
      <c r="AC213" s="13" t="str">
        <v/>
      </c>
      <c r="AD213" t="str">
        <f t="shared" si="10"/>
        <v/>
      </c>
      <c r="AE213" t="str">
        <f>_xlfn.XLOOKUP(B:B,Disk_Pivot!G:G,Disk_Pivot!I:I)</f>
        <v>No</v>
      </c>
      <c r="AF213" t="str">
        <f>_xlfn.XLOOKUP(B213,Disk_Pivot!G:G,Disk_Pivot!N:N)</f>
        <v/>
      </c>
    </row>
    <row r="214" spans="6:32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AC214">IFERROR(IF(_xlfn.XLOOKUP(B214,Input!J:J,Input!N:V)=0,"",
          _xlfn.XLOOKUP(B214,Input!J:J,Input!N:V)),"")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s="13" t="str">
        <v/>
      </c>
      <c r="AB214" s="13" t="str">
        <v/>
      </c>
      <c r="AC214" s="13" t="str">
        <v/>
      </c>
      <c r="AD214" t="str">
        <f t="shared" si="10"/>
        <v/>
      </c>
      <c r="AE214" t="str">
        <f>_xlfn.XLOOKUP(B:B,Disk_Pivot!G:G,Disk_Pivot!I:I)</f>
        <v>No</v>
      </c>
      <c r="AF214" t="str">
        <f>_xlfn.XLOOKUP(B214,Disk_Pivot!G:G,Disk_Pivot!N:N)</f>
        <v/>
      </c>
    </row>
    <row r="215" spans="6:32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AC215">IFERROR(IF(_xlfn.XLOOKUP(B215,Input!J:J,Input!N:V)=0,"",
          _xlfn.XLOOKUP(B215,Input!J:J,Input!N:V)),"")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s="13" t="str">
        <v/>
      </c>
      <c r="AB215" s="13" t="str">
        <v/>
      </c>
      <c r="AC215" s="13" t="str">
        <v/>
      </c>
      <c r="AD215" t="str">
        <f t="shared" si="10"/>
        <v/>
      </c>
      <c r="AE215" t="str">
        <f>_xlfn.XLOOKUP(B:B,Disk_Pivot!G:G,Disk_Pivot!I:I)</f>
        <v>No</v>
      </c>
      <c r="AF215" t="str">
        <f>_xlfn.XLOOKUP(B215,Disk_Pivot!G:G,Disk_Pivot!N:N)</f>
        <v/>
      </c>
    </row>
    <row r="216" spans="6:32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AC216">IFERROR(IF(_xlfn.XLOOKUP(B216,Input!J:J,Input!N:V)=0,"",
          _xlfn.XLOOKUP(B216,Input!J:J,Input!N:V)),"")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s="13" t="str">
        <v/>
      </c>
      <c r="AB216" s="13" t="str">
        <v/>
      </c>
      <c r="AC216" s="13" t="str">
        <v/>
      </c>
      <c r="AD216" t="str">
        <f t="shared" si="10"/>
        <v/>
      </c>
      <c r="AE216" t="str">
        <f>_xlfn.XLOOKUP(B:B,Disk_Pivot!G:G,Disk_Pivot!I:I)</f>
        <v>No</v>
      </c>
      <c r="AF216" t="str">
        <f>_xlfn.XLOOKUP(B216,Disk_Pivot!G:G,Disk_Pivot!N:N)</f>
        <v/>
      </c>
    </row>
    <row r="217" spans="6:32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AC217">IFERROR(IF(_xlfn.XLOOKUP(B217,Input!J:J,Input!N:V)=0,"",
          _xlfn.XLOOKUP(B217,Input!J:J,Input!N:V)),"")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s="13" t="str">
        <v/>
      </c>
      <c r="AB217" s="13" t="str">
        <v/>
      </c>
      <c r="AC217" s="13" t="str">
        <v/>
      </c>
      <c r="AD217" t="str">
        <f t="shared" si="10"/>
        <v/>
      </c>
      <c r="AE217" t="str">
        <f>_xlfn.XLOOKUP(B:B,Disk_Pivot!G:G,Disk_Pivot!I:I)</f>
        <v>No</v>
      </c>
      <c r="AF217" t="str">
        <f>_xlfn.XLOOKUP(B217,Disk_Pivot!G:G,Disk_Pivot!N:N)</f>
        <v/>
      </c>
    </row>
    <row r="218" spans="6:32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AC218">IFERROR(IF(_xlfn.XLOOKUP(B218,Input!J:J,Input!N:V)=0,"",
          _xlfn.XLOOKUP(B218,Input!J:J,Input!N:V)),"")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s="13" t="str">
        <v/>
      </c>
      <c r="AB218" s="13" t="str">
        <v/>
      </c>
      <c r="AC218" s="13" t="str">
        <v/>
      </c>
      <c r="AD218" t="str">
        <f t="shared" si="10"/>
        <v/>
      </c>
      <c r="AE218" t="str">
        <f>_xlfn.XLOOKUP(B:B,Disk_Pivot!G:G,Disk_Pivot!I:I)</f>
        <v>No</v>
      </c>
      <c r="AF218" t="str">
        <f>_xlfn.XLOOKUP(B218,Disk_Pivot!G:G,Disk_Pivot!N:N)</f>
        <v/>
      </c>
    </row>
    <row r="219" spans="6:32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AC219">IFERROR(IF(_xlfn.XLOOKUP(B219,Input!J:J,Input!N:V)=0,"",
          _xlfn.XLOOKUP(B219,Input!J:J,Input!N:V)),"")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s="13" t="str">
        <v/>
      </c>
      <c r="AB219" s="13" t="str">
        <v/>
      </c>
      <c r="AC219" s="13" t="str">
        <v/>
      </c>
      <c r="AD219" t="str">
        <f t="shared" si="10"/>
        <v/>
      </c>
      <c r="AE219" t="str">
        <f>_xlfn.XLOOKUP(B:B,Disk_Pivot!G:G,Disk_Pivot!I:I)</f>
        <v>No</v>
      </c>
      <c r="AF219" t="str">
        <f>_xlfn.XLOOKUP(B219,Disk_Pivot!G:G,Disk_Pivot!N:N)</f>
        <v/>
      </c>
    </row>
    <row r="220" spans="6:32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AC220">IFERROR(IF(_xlfn.XLOOKUP(B220,Input!J:J,Input!N:V)=0,"",
          _xlfn.XLOOKUP(B220,Input!J:J,Input!N:V)),"")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s="13" t="str">
        <v/>
      </c>
      <c r="AB220" s="13" t="str">
        <v/>
      </c>
      <c r="AC220" s="13" t="str">
        <v/>
      </c>
      <c r="AD220" t="str">
        <f t="shared" si="10"/>
        <v/>
      </c>
      <c r="AE220" t="str">
        <f>_xlfn.XLOOKUP(B:B,Disk_Pivot!G:G,Disk_Pivot!I:I)</f>
        <v>No</v>
      </c>
      <c r="AF220" t="str">
        <f>_xlfn.XLOOKUP(B220,Disk_Pivot!G:G,Disk_Pivot!N:N)</f>
        <v/>
      </c>
    </row>
    <row r="221" spans="6:32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AC221">IFERROR(IF(_xlfn.XLOOKUP(B221,Input!J:J,Input!N:V)=0,"",
          _xlfn.XLOOKUP(B221,Input!J:J,Input!N:V)),"")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s="13" t="str">
        <v/>
      </c>
      <c r="AB221" s="13" t="str">
        <v/>
      </c>
      <c r="AC221" s="13" t="str">
        <v/>
      </c>
      <c r="AD221" t="str">
        <f t="shared" si="10"/>
        <v/>
      </c>
      <c r="AE221" t="str">
        <f>_xlfn.XLOOKUP(B:B,Disk_Pivot!G:G,Disk_Pivot!I:I)</f>
        <v>No</v>
      </c>
      <c r="AF221" t="str">
        <f>_xlfn.XLOOKUP(B221,Disk_Pivot!G:G,Disk_Pivot!N:N)</f>
        <v/>
      </c>
    </row>
    <row r="222" spans="6:32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AC222">IFERROR(IF(_xlfn.XLOOKUP(B222,Input!J:J,Input!N:V)=0,"",
          _xlfn.XLOOKUP(B222,Input!J:J,Input!N:V)),"")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s="13" t="str">
        <v/>
      </c>
      <c r="AB222" s="13" t="str">
        <v/>
      </c>
      <c r="AC222" s="13" t="str">
        <v/>
      </c>
      <c r="AD222" t="str">
        <f t="shared" si="10"/>
        <v/>
      </c>
      <c r="AE222" t="str">
        <f>_xlfn.XLOOKUP(B:B,Disk_Pivot!G:G,Disk_Pivot!I:I)</f>
        <v>No</v>
      </c>
      <c r="AF222" t="str">
        <f>_xlfn.XLOOKUP(B222,Disk_Pivot!G:G,Disk_Pivot!N:N)</f>
        <v/>
      </c>
    </row>
    <row r="223" spans="6:32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AC223">IFERROR(IF(_xlfn.XLOOKUP(B223,Input!J:J,Input!N:V)=0,"",
          _xlfn.XLOOKUP(B223,Input!J:J,Input!N:V)),"")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s="13" t="str">
        <v/>
      </c>
      <c r="AB223" s="13" t="str">
        <v/>
      </c>
      <c r="AC223" s="13" t="str">
        <v/>
      </c>
      <c r="AD223" t="str">
        <f t="shared" si="10"/>
        <v/>
      </c>
      <c r="AE223" t="str">
        <f>_xlfn.XLOOKUP(B:B,Disk_Pivot!G:G,Disk_Pivot!I:I)</f>
        <v>No</v>
      </c>
      <c r="AF223" t="str">
        <f>_xlfn.XLOOKUP(B223,Disk_Pivot!G:G,Disk_Pivot!N:N)</f>
        <v/>
      </c>
    </row>
    <row r="224" spans="6:32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AC224">IFERROR(IF(_xlfn.XLOOKUP(B224,Input!J:J,Input!N:V)=0,"",
          _xlfn.XLOOKUP(B224,Input!J:J,Input!N:V)),"")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s="13" t="str">
        <v/>
      </c>
      <c r="AB224" s="13" t="str">
        <v/>
      </c>
      <c r="AC224" s="13" t="str">
        <v/>
      </c>
      <c r="AD224" t="str">
        <f t="shared" si="10"/>
        <v/>
      </c>
      <c r="AE224" t="str">
        <f>_xlfn.XLOOKUP(B:B,Disk_Pivot!G:G,Disk_Pivot!I:I)</f>
        <v>No</v>
      </c>
      <c r="AF224" t="str">
        <f>_xlfn.XLOOKUP(B224,Disk_Pivot!G:G,Disk_Pivot!N:N)</f>
        <v/>
      </c>
    </row>
    <row r="225" spans="6:32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AC225">IFERROR(IF(_xlfn.XLOOKUP(B225,Input!J:J,Input!N:V)=0,"",
          _xlfn.XLOOKUP(B225,Input!J:J,Input!N:V)),"")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s="13" t="str">
        <v/>
      </c>
      <c r="AB225" s="13" t="str">
        <v/>
      </c>
      <c r="AC225" s="13" t="str">
        <v/>
      </c>
      <c r="AD225" t="str">
        <f t="shared" si="10"/>
        <v/>
      </c>
      <c r="AE225" t="str">
        <f>_xlfn.XLOOKUP(B:B,Disk_Pivot!G:G,Disk_Pivot!I:I)</f>
        <v>No</v>
      </c>
      <c r="AF225" t="str">
        <f>_xlfn.XLOOKUP(B225,Disk_Pivot!G:G,Disk_Pivot!N:N)</f>
        <v/>
      </c>
    </row>
    <row r="226" spans="6:32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AC226">IFERROR(IF(_xlfn.XLOOKUP(B226,Input!J:J,Input!N:V)=0,"",
          _xlfn.XLOOKUP(B226,Input!J:J,Input!N:V)),"")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s="13" t="str">
        <v/>
      </c>
      <c r="AB226" s="13" t="str">
        <v/>
      </c>
      <c r="AC226" s="13" t="str">
        <v/>
      </c>
      <c r="AD226" t="str">
        <f t="shared" si="10"/>
        <v/>
      </c>
      <c r="AE226" t="str">
        <f>_xlfn.XLOOKUP(B:B,Disk_Pivot!G:G,Disk_Pivot!I:I)</f>
        <v>No</v>
      </c>
      <c r="AF226" t="str">
        <f>_xlfn.XLOOKUP(B226,Disk_Pivot!G:G,Disk_Pivot!N:N)</f>
        <v/>
      </c>
    </row>
    <row r="227" spans="6:32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AC227">IFERROR(IF(_xlfn.XLOOKUP(B227,Input!J:J,Input!N:V)=0,"",
          _xlfn.XLOOKUP(B227,Input!J:J,Input!N:V)),"")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s="13" t="str">
        <v/>
      </c>
      <c r="AB227" s="13" t="str">
        <v/>
      </c>
      <c r="AC227" s="13" t="str">
        <v/>
      </c>
      <c r="AD227" t="str">
        <f t="shared" si="10"/>
        <v/>
      </c>
      <c r="AE227" t="str">
        <f>_xlfn.XLOOKUP(B:B,Disk_Pivot!G:G,Disk_Pivot!I:I)</f>
        <v>No</v>
      </c>
      <c r="AF227" t="str">
        <f>_xlfn.XLOOKUP(B227,Disk_Pivot!G:G,Disk_Pivot!N:N)</f>
        <v/>
      </c>
    </row>
    <row r="228" spans="6:32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AC228">IFERROR(IF(_xlfn.XLOOKUP(B228,Input!J:J,Input!N:V)=0,"",
          _xlfn.XLOOKUP(B228,Input!J:J,Input!N:V)),"")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s="13" t="str">
        <v/>
      </c>
      <c r="AB228" s="13" t="str">
        <v/>
      </c>
      <c r="AC228" s="13" t="str">
        <v/>
      </c>
      <c r="AD228" t="str">
        <f t="shared" si="10"/>
        <v/>
      </c>
      <c r="AE228" t="str">
        <f>_xlfn.XLOOKUP(B:B,Disk_Pivot!G:G,Disk_Pivot!I:I)</f>
        <v>No</v>
      </c>
      <c r="AF228" t="str">
        <f>_xlfn.XLOOKUP(B228,Disk_Pivot!G:G,Disk_Pivot!N:N)</f>
        <v/>
      </c>
    </row>
    <row r="229" spans="6:32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AC229">IFERROR(IF(_xlfn.XLOOKUP(B229,Input!J:J,Input!N:V)=0,"",
          _xlfn.XLOOKUP(B229,Input!J:J,Input!N:V)),"")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s="13" t="str">
        <v/>
      </c>
      <c r="AB229" s="13" t="str">
        <v/>
      </c>
      <c r="AC229" s="13" t="str">
        <v/>
      </c>
      <c r="AD229" t="str">
        <f t="shared" si="10"/>
        <v/>
      </c>
      <c r="AE229" t="str">
        <f>_xlfn.XLOOKUP(B:B,Disk_Pivot!G:G,Disk_Pivot!I:I)</f>
        <v>No</v>
      </c>
      <c r="AF229" t="str">
        <f>_xlfn.XLOOKUP(B229,Disk_Pivot!G:G,Disk_Pivot!N:N)</f>
        <v/>
      </c>
    </row>
    <row r="230" spans="6:32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AC230">IFERROR(IF(_xlfn.XLOOKUP(B230,Input!J:J,Input!N:V)=0,"",
          _xlfn.XLOOKUP(B230,Input!J:J,Input!N:V)),"")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s="13" t="str">
        <v/>
      </c>
      <c r="AB230" s="13" t="str">
        <v/>
      </c>
      <c r="AC230" s="13" t="str">
        <v/>
      </c>
      <c r="AD230" t="str">
        <f t="shared" si="10"/>
        <v/>
      </c>
      <c r="AE230" t="str">
        <f>_xlfn.XLOOKUP(B:B,Disk_Pivot!G:G,Disk_Pivot!I:I)</f>
        <v>No</v>
      </c>
      <c r="AF230" t="str">
        <f>_xlfn.XLOOKUP(B230,Disk_Pivot!G:G,Disk_Pivot!N:N)</f>
        <v/>
      </c>
    </row>
    <row r="231" spans="6:32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AC231">IFERROR(IF(_xlfn.XLOOKUP(B231,Input!J:J,Input!N:V)=0,"",
          _xlfn.XLOOKUP(B231,Input!J:J,Input!N:V)),"")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s="13" t="str">
        <v/>
      </c>
      <c r="AB231" s="13" t="str">
        <v/>
      </c>
      <c r="AC231" s="13" t="str">
        <v/>
      </c>
      <c r="AD231" t="str">
        <f t="shared" si="10"/>
        <v/>
      </c>
      <c r="AE231" t="str">
        <f>_xlfn.XLOOKUP(B:B,Disk_Pivot!G:G,Disk_Pivot!I:I)</f>
        <v>No</v>
      </c>
      <c r="AF231" t="str">
        <f>_xlfn.XLOOKUP(B231,Disk_Pivot!G:G,Disk_Pivot!N:N)</f>
        <v/>
      </c>
    </row>
    <row r="232" spans="6:32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AC232">IFERROR(IF(_xlfn.XLOOKUP(B232,Input!J:J,Input!N:V)=0,"",
          _xlfn.XLOOKUP(B232,Input!J:J,Input!N:V)),"")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s="13" t="str">
        <v/>
      </c>
      <c r="AB232" s="13" t="str">
        <v/>
      </c>
      <c r="AC232" s="13" t="str">
        <v/>
      </c>
      <c r="AD232" t="str">
        <f t="shared" si="10"/>
        <v/>
      </c>
      <c r="AE232" t="str">
        <f>_xlfn.XLOOKUP(B:B,Disk_Pivot!G:G,Disk_Pivot!I:I)</f>
        <v>No</v>
      </c>
      <c r="AF232" t="str">
        <f>_xlfn.XLOOKUP(B232,Disk_Pivot!G:G,Disk_Pivot!N:N)</f>
        <v/>
      </c>
    </row>
    <row r="233" spans="6:32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AC233">IFERROR(IF(_xlfn.XLOOKUP(B233,Input!J:J,Input!N:V)=0,"",
          _xlfn.XLOOKUP(B233,Input!J:J,Input!N:V)),"")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s="13" t="str">
        <v/>
      </c>
      <c r="AB233" s="13" t="str">
        <v/>
      </c>
      <c r="AC233" s="13" t="str">
        <v/>
      </c>
      <c r="AD233" t="str">
        <f t="shared" si="10"/>
        <v/>
      </c>
      <c r="AE233" t="str">
        <f>_xlfn.XLOOKUP(B:B,Disk_Pivot!G:G,Disk_Pivot!I:I)</f>
        <v>No</v>
      </c>
      <c r="AF233" t="str">
        <f>_xlfn.XLOOKUP(B233,Disk_Pivot!G:G,Disk_Pivot!N:N)</f>
        <v/>
      </c>
    </row>
    <row r="234" spans="6:32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AC234">IFERROR(IF(_xlfn.XLOOKUP(B234,Input!J:J,Input!N:V)=0,"",
          _xlfn.XLOOKUP(B234,Input!J:J,Input!N:V)),"")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s="13" t="str">
        <v/>
      </c>
      <c r="AB234" s="13" t="str">
        <v/>
      </c>
      <c r="AC234" s="13" t="str">
        <v/>
      </c>
      <c r="AD234" t="str">
        <f t="shared" si="10"/>
        <v/>
      </c>
      <c r="AE234" t="str">
        <f>_xlfn.XLOOKUP(B:B,Disk_Pivot!G:G,Disk_Pivot!I:I)</f>
        <v>No</v>
      </c>
      <c r="AF234" t="str">
        <f>_xlfn.XLOOKUP(B234,Disk_Pivot!G:G,Disk_Pivot!N:N)</f>
        <v/>
      </c>
    </row>
    <row r="235" spans="6:32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AC235">IFERROR(IF(_xlfn.XLOOKUP(B235,Input!J:J,Input!N:V)=0,"",
          _xlfn.XLOOKUP(B235,Input!J:J,Input!N:V)),"")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s="13" t="str">
        <v/>
      </c>
      <c r="AB235" s="13" t="str">
        <v/>
      </c>
      <c r="AC235" s="13" t="str">
        <v/>
      </c>
      <c r="AD235" t="str">
        <f t="shared" si="10"/>
        <v/>
      </c>
      <c r="AE235" t="str">
        <f>_xlfn.XLOOKUP(B:B,Disk_Pivot!G:G,Disk_Pivot!I:I)</f>
        <v>No</v>
      </c>
      <c r="AF235" t="str">
        <f>_xlfn.XLOOKUP(B235,Disk_Pivot!G:G,Disk_Pivot!N:N)</f>
        <v/>
      </c>
    </row>
    <row r="236" spans="6:32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AC236">IFERROR(IF(_xlfn.XLOOKUP(B236,Input!J:J,Input!N:V)=0,"",
          _xlfn.XLOOKUP(B236,Input!J:J,Input!N:V)),"")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s="13" t="str">
        <v/>
      </c>
      <c r="AB236" s="13" t="str">
        <v/>
      </c>
      <c r="AC236" s="13" t="str">
        <v/>
      </c>
      <c r="AD236" t="str">
        <f t="shared" si="10"/>
        <v/>
      </c>
      <c r="AE236" t="str">
        <f>_xlfn.XLOOKUP(B:B,Disk_Pivot!G:G,Disk_Pivot!I:I)</f>
        <v>No</v>
      </c>
      <c r="AF236" t="str">
        <f>_xlfn.XLOOKUP(B236,Disk_Pivot!G:G,Disk_Pivot!N:N)</f>
        <v/>
      </c>
    </row>
    <row r="237" spans="6:32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AC237">IFERROR(IF(_xlfn.XLOOKUP(B237,Input!J:J,Input!N:V)=0,"",
          _xlfn.XLOOKUP(B237,Input!J:J,Input!N:V)),"")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s="13" t="str">
        <v/>
      </c>
      <c r="AB237" s="13" t="str">
        <v/>
      </c>
      <c r="AC237" s="13" t="str">
        <v/>
      </c>
      <c r="AD237" t="str">
        <f t="shared" si="10"/>
        <v/>
      </c>
      <c r="AE237" t="str">
        <f>_xlfn.XLOOKUP(B:B,Disk_Pivot!G:G,Disk_Pivot!I:I)</f>
        <v>No</v>
      </c>
      <c r="AF237" t="str">
        <f>_xlfn.XLOOKUP(B237,Disk_Pivot!G:G,Disk_Pivot!N:N)</f>
        <v/>
      </c>
    </row>
    <row r="238" spans="6:32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AC238">IFERROR(IF(_xlfn.XLOOKUP(B238,Input!J:J,Input!N:V)=0,"",
          _xlfn.XLOOKUP(B238,Input!J:J,Input!N:V)),"")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s="13" t="str">
        <v/>
      </c>
      <c r="AB238" s="13" t="str">
        <v/>
      </c>
      <c r="AC238" s="13" t="str">
        <v/>
      </c>
      <c r="AD238" t="str">
        <f t="shared" si="10"/>
        <v/>
      </c>
      <c r="AE238" t="str">
        <f>_xlfn.XLOOKUP(B:B,Disk_Pivot!G:G,Disk_Pivot!I:I)</f>
        <v>No</v>
      </c>
      <c r="AF238" t="str">
        <f>_xlfn.XLOOKUP(B238,Disk_Pivot!G:G,Disk_Pivot!N:N)</f>
        <v/>
      </c>
    </row>
    <row r="239" spans="6:32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AC239">IFERROR(IF(_xlfn.XLOOKUP(B239,Input!J:J,Input!N:V)=0,"",
          _xlfn.XLOOKUP(B239,Input!J:J,Input!N:V)),"")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s="13" t="str">
        <v/>
      </c>
      <c r="AB239" s="13" t="str">
        <v/>
      </c>
      <c r="AC239" s="13" t="str">
        <v/>
      </c>
      <c r="AD239" t="str">
        <f t="shared" si="10"/>
        <v/>
      </c>
      <c r="AE239" t="str">
        <f>_xlfn.XLOOKUP(B:B,Disk_Pivot!G:G,Disk_Pivot!I:I)</f>
        <v>No</v>
      </c>
      <c r="AF239" t="str">
        <f>_xlfn.XLOOKUP(B239,Disk_Pivot!G:G,Disk_Pivot!N:N)</f>
        <v/>
      </c>
    </row>
    <row r="240" spans="6:32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AC240">IFERROR(IF(_xlfn.XLOOKUP(B240,Input!J:J,Input!N:V)=0,"",
          _xlfn.XLOOKUP(B240,Input!J:J,Input!N:V)),"")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s="13" t="str">
        <v/>
      </c>
      <c r="AB240" s="13" t="str">
        <v/>
      </c>
      <c r="AC240" s="13" t="str">
        <v/>
      </c>
      <c r="AD240" t="str">
        <f t="shared" si="10"/>
        <v/>
      </c>
      <c r="AE240" t="str">
        <f>_xlfn.XLOOKUP(B:B,Disk_Pivot!G:G,Disk_Pivot!I:I)</f>
        <v>No</v>
      </c>
      <c r="AF240" t="str">
        <f>_xlfn.XLOOKUP(B240,Disk_Pivot!G:G,Disk_Pivot!N:N)</f>
        <v/>
      </c>
    </row>
    <row r="241" spans="6:32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AC241">IFERROR(IF(_xlfn.XLOOKUP(B241,Input!J:J,Input!N:V)=0,"",
          _xlfn.XLOOKUP(B241,Input!J:J,Input!N:V)),"")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s="13" t="str">
        <v/>
      </c>
      <c r="AB241" s="13" t="str">
        <v/>
      </c>
      <c r="AC241" s="13" t="str">
        <v/>
      </c>
      <c r="AD241" t="str">
        <f t="shared" si="10"/>
        <v/>
      </c>
      <c r="AE241" t="str">
        <f>_xlfn.XLOOKUP(B:B,Disk_Pivot!G:G,Disk_Pivot!I:I)</f>
        <v>No</v>
      </c>
      <c r="AF241" t="str">
        <f>_xlfn.XLOOKUP(B241,Disk_Pivot!G:G,Disk_Pivot!N:N)</f>
        <v/>
      </c>
    </row>
    <row r="242" spans="6:32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AC242">IFERROR(IF(_xlfn.XLOOKUP(B242,Input!J:J,Input!N:V)=0,"",
          _xlfn.XLOOKUP(B242,Input!J:J,Input!N:V)),"")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s="13" t="str">
        <v/>
      </c>
      <c r="AB242" s="13" t="str">
        <v/>
      </c>
      <c r="AC242" s="13" t="str">
        <v/>
      </c>
      <c r="AD242" t="str">
        <f t="shared" si="10"/>
        <v/>
      </c>
      <c r="AE242" t="str">
        <f>_xlfn.XLOOKUP(B:B,Disk_Pivot!G:G,Disk_Pivot!I:I)</f>
        <v>No</v>
      </c>
      <c r="AF242" t="str">
        <f>_xlfn.XLOOKUP(B242,Disk_Pivot!G:G,Disk_Pivot!N:N)</f>
        <v/>
      </c>
    </row>
    <row r="243" spans="6:32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AC243">IFERROR(IF(_xlfn.XLOOKUP(B243,Input!J:J,Input!N:V)=0,"",
          _xlfn.XLOOKUP(B243,Input!J:J,Input!N:V)),"")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s="13" t="str">
        <v/>
      </c>
      <c r="AB243" s="13" t="str">
        <v/>
      </c>
      <c r="AC243" s="13" t="str">
        <v/>
      </c>
      <c r="AD243" t="str">
        <f t="shared" si="10"/>
        <v/>
      </c>
      <c r="AE243" t="str">
        <f>_xlfn.XLOOKUP(B:B,Disk_Pivot!G:G,Disk_Pivot!I:I)</f>
        <v>No</v>
      </c>
      <c r="AF243" t="str">
        <f>_xlfn.XLOOKUP(B243,Disk_Pivot!G:G,Disk_Pivot!N:N)</f>
        <v/>
      </c>
    </row>
    <row r="244" spans="6:32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AC244">IFERROR(IF(_xlfn.XLOOKUP(B244,Input!J:J,Input!N:V)=0,"",
          _xlfn.XLOOKUP(B244,Input!J:J,Input!N:V)),"")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s="13" t="str">
        <v/>
      </c>
      <c r="AB244" s="13" t="str">
        <v/>
      </c>
      <c r="AC244" s="13" t="str">
        <v/>
      </c>
      <c r="AD244" t="str">
        <f t="shared" si="10"/>
        <v/>
      </c>
      <c r="AE244" t="str">
        <f>_xlfn.XLOOKUP(B:B,Disk_Pivot!G:G,Disk_Pivot!I:I)</f>
        <v>No</v>
      </c>
      <c r="AF244" t="str">
        <f>_xlfn.XLOOKUP(B244,Disk_Pivot!G:G,Disk_Pivot!N:N)</f>
        <v/>
      </c>
    </row>
    <row r="245" spans="6:32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AC245">IFERROR(IF(_xlfn.XLOOKUP(B245,Input!J:J,Input!N:V)=0,"",
          _xlfn.XLOOKUP(B245,Input!J:J,Input!N:V)),"")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s="13" t="str">
        <v/>
      </c>
      <c r="AB245" s="13" t="str">
        <v/>
      </c>
      <c r="AC245" s="13" t="str">
        <v/>
      </c>
      <c r="AD245" t="str">
        <f t="shared" si="10"/>
        <v/>
      </c>
      <c r="AE245" t="str">
        <f>_xlfn.XLOOKUP(B:B,Disk_Pivot!G:G,Disk_Pivot!I:I)</f>
        <v>No</v>
      </c>
      <c r="AF245" t="str">
        <f>_xlfn.XLOOKUP(B245,Disk_Pivot!G:G,Disk_Pivot!N:N)</f>
        <v/>
      </c>
    </row>
    <row r="246" spans="6:32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AC246">IFERROR(IF(_xlfn.XLOOKUP(B246,Input!J:J,Input!N:V)=0,"",
          _xlfn.XLOOKUP(B246,Input!J:J,Input!N:V)),"")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s="13" t="str">
        <v/>
      </c>
      <c r="AB246" s="13" t="str">
        <v/>
      </c>
      <c r="AC246" s="13" t="str">
        <v/>
      </c>
      <c r="AD246" t="str">
        <f t="shared" si="10"/>
        <v/>
      </c>
      <c r="AE246" t="str">
        <f>_xlfn.XLOOKUP(B:B,Disk_Pivot!G:G,Disk_Pivot!I:I)</f>
        <v>No</v>
      </c>
      <c r="AF246" t="str">
        <f>_xlfn.XLOOKUP(B246,Disk_Pivot!G:G,Disk_Pivot!N:N)</f>
        <v/>
      </c>
    </row>
    <row r="247" spans="6:32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AC247">IFERROR(IF(_xlfn.XLOOKUP(B247,Input!J:J,Input!N:V)=0,"",
          _xlfn.XLOOKUP(B247,Input!J:J,Input!N:V)),"")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s="13" t="str">
        <v/>
      </c>
      <c r="AB247" s="13" t="str">
        <v/>
      </c>
      <c r="AC247" s="13" t="str">
        <v/>
      </c>
      <c r="AD247" t="str">
        <f t="shared" si="10"/>
        <v/>
      </c>
      <c r="AE247" t="str">
        <f>_xlfn.XLOOKUP(B:B,Disk_Pivot!G:G,Disk_Pivot!I:I)</f>
        <v>No</v>
      </c>
      <c r="AF247" t="str">
        <f>_xlfn.XLOOKUP(B247,Disk_Pivot!G:G,Disk_Pivot!N:N)</f>
        <v/>
      </c>
    </row>
    <row r="248" spans="6:32">
      <c r="F248" t="str">
        <f>_xlfn.XLOOKUP(H248,Models!B:B,Models!F:F,"")</f>
        <v/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AC248">IFERROR(IF(_xlfn.XLOOKUP(B248,Input!J:J,Input!N:V)=0,"",
          _xlfn.XLOOKUP(B248,Input!J:J,Input!N:V)),"")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s="13" t="str">
        <v/>
      </c>
      <c r="AB248" s="13" t="str">
        <v/>
      </c>
      <c r="AC248" s="13" t="str">
        <v/>
      </c>
      <c r="AD248" t="str">
        <f t="shared" si="10"/>
        <v/>
      </c>
      <c r="AE248" t="str">
        <f>_xlfn.XLOOKUP(B:B,Disk_Pivot!G:G,Disk_Pivot!I:I)</f>
        <v>No</v>
      </c>
      <c r="AF248" t="str">
        <f>_xlfn.XLOOKUP(B248,Disk_Pivot!G:G,Disk_Pivot!N:N)</f>
        <v/>
      </c>
    </row>
    <row r="249" spans="6:32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AC249">IFERROR(IF(_xlfn.XLOOKUP(B249,Input!J:J,Input!N:V)=0,"",
          _xlfn.XLOOKUP(B249,Input!J:J,Input!N:V)),"")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s="13" t="str">
        <v/>
      </c>
      <c r="AB249" s="13" t="str">
        <v/>
      </c>
      <c r="AC249" s="13" t="str">
        <v/>
      </c>
      <c r="AD249" t="str">
        <f t="shared" si="10"/>
        <v/>
      </c>
      <c r="AE249" t="str">
        <f>_xlfn.XLOOKUP(B:B,Disk_Pivot!G:G,Disk_Pivot!I:I)</f>
        <v>No</v>
      </c>
      <c r="AF249" t="str">
        <f>_xlfn.XLOOKUP(B249,Disk_Pivot!G:G,Disk_Pivot!N:N)</f>
        <v/>
      </c>
    </row>
    <row r="250" spans="6:32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AC250">IFERROR(IF(_xlfn.XLOOKUP(B250,Input!J:J,Input!N:V)=0,"",
          _xlfn.XLOOKUP(B250,Input!J:J,Input!N:V)),"")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s="13" t="str">
        <v/>
      </c>
      <c r="AB250" s="13" t="str">
        <v/>
      </c>
      <c r="AC250" s="13" t="str">
        <v/>
      </c>
      <c r="AD250" t="str">
        <f t="shared" si="10"/>
        <v/>
      </c>
      <c r="AE250" t="str">
        <f>_xlfn.XLOOKUP(B:B,Disk_Pivot!G:G,Disk_Pivot!I:I)</f>
        <v>No</v>
      </c>
      <c r="AF250" t="str">
        <f>_xlfn.XLOOKUP(B250,Disk_Pivot!G:G,Disk_Pivot!N:N)</f>
        <v/>
      </c>
    </row>
    <row r="251" spans="6:32">
      <c r="F251" t="str">
        <f>_xlfn.XLOOKUP(H251,Models!B:B,Models!F:F,"")</f>
        <v/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AC251">IFERROR(IF(_xlfn.XLOOKUP(B251,Input!J:J,Input!N:V)=0,"",
          _xlfn.XLOOKUP(B251,Input!J:J,Input!N:V)),"")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s="13" t="str">
        <v/>
      </c>
      <c r="AB251" s="13" t="str">
        <v/>
      </c>
      <c r="AC251" s="13" t="str">
        <v/>
      </c>
      <c r="AD251" t="str">
        <f t="shared" si="10"/>
        <v/>
      </c>
      <c r="AE251" t="str">
        <f>_xlfn.XLOOKUP(B:B,Disk_Pivot!G:G,Disk_Pivot!I:I)</f>
        <v>No</v>
      </c>
      <c r="AF251" t="str">
        <f>_xlfn.XLOOKUP(B251,Disk_Pivot!G:G,Disk_Pivot!N:N)</f>
        <v/>
      </c>
    </row>
    <row r="252" spans="6:32">
      <c r="F252">
        <f>_xlfn.XLOOKUP(H252,Models!B:B,Models!F:F,"")</f>
        <v>0</v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AC252">IFERROR(IF(_xlfn.XLOOKUP(B252,Input!J:J,Input!N:V)=0,"",
          _xlfn.XLOOKUP(B252,Input!J:J,Input!N:V)),"")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s="13" t="str">
        <v/>
      </c>
      <c r="AB252" s="13" t="str">
        <v/>
      </c>
      <c r="AC252" s="13" t="str">
        <v/>
      </c>
      <c r="AD252" t="str">
        <f t="shared" si="10"/>
        <v/>
      </c>
      <c r="AE252" t="str">
        <f>_xlfn.XLOOKUP(B:B,Disk_Pivot!G:G,Disk_Pivot!I:I)</f>
        <v>No</v>
      </c>
      <c r="AF252" t="str">
        <f>_xlfn.XLOOKUP(B252,Disk_Pivot!G:G,Disk_Pivot!N:N)</f>
        <v/>
      </c>
    </row>
    <row r="253" spans="6:32">
      <c r="F253">
        <f>_xlfn.XLOOKUP(H253,Models!B:B,Models!F:F,"")</f>
        <v>0</v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D253" t="str">
        <f t="shared" si="10"/>
        <v/>
      </c>
    </row>
    <row r="254" spans="6:32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D254" t="str">
        <f t="shared" si="10"/>
        <v/>
      </c>
    </row>
    <row r="255" spans="6:32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D255" t="str">
        <f t="shared" si="10"/>
        <v/>
      </c>
    </row>
    <row r="256" spans="6:32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D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B2" sqref="B2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316</v>
      </c>
      <c r="C1" s="12" t="s">
        <v>310</v>
      </c>
      <c r="D1" s="12" t="s">
        <v>311</v>
      </c>
      <c r="E1" s="12" t="s">
        <v>312</v>
      </c>
      <c r="F1" s="12" t="s">
        <v>313</v>
      </c>
      <c r="G1" s="12" t="s">
        <v>314</v>
      </c>
      <c r="H1" s="12" t="s">
        <v>315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304</v>
      </c>
      <c r="O1" s="12" t="s">
        <v>303</v>
      </c>
      <c r="P1" s="12" t="s">
        <v>19</v>
      </c>
      <c r="Q1" s="12" t="s">
        <v>305</v>
      </c>
      <c r="R1" s="12" t="s">
        <v>306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522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>
        <f>_xlfn.XLOOKUP(B267,MacReports!B:B,MacReports!D:D,"")</f>
        <v>0</v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 t="str">
        <f>_xlfn.XLOOKUP(B302,MacReports!B:B,MacReports!D:D,"")</f>
        <v/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 t="str">
        <f>_xlfn.XLOOKUP(B321,MacReports!B:B,MacReports!D:D,"")</f>
        <v/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>
        <f>_xlfn.XLOOKUP(B326,MacReports!B:B,MacReports!D:D,"")</f>
        <v>0</v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>
        <f>_xlfn.XLOOKUP(B338,MacReports!B:B,MacReports!D:D,"")</f>
        <v>0</v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 t="str">
        <f>_xlfn.XLOOKUP(B344,MacReports!B:B,MacReports!D:D,"")</f>
        <v/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 t="str">
        <f>_xlfn.XLOOKUP(B356,MacReports!B:B,MacReports!D:D,"")</f>
        <v/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>
        <f>_xlfn.XLOOKUP(B446,MacReports!B:B,MacReports!D:D,"")</f>
        <v>0</v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>
        <f>_xlfn.XLOOKUP(B489,MacReports!B:B,MacReports!D:D,"")</f>
        <v>0</v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>
        <f>_xlfn.XLOOKUP(B497,MacReports!B:B,MacReports!D:D,"")</f>
        <v>0</v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>
        <f>_xlfn.XLOOKUP(B502,MacReports!B:B,MacReports!D:D,"")</f>
        <v>0</v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>
        <f>_xlfn.XLOOKUP(B535,MacReports!B:B,MacReports!D:D,"")</f>
        <v>0</v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>
        <f>_xlfn.XLOOKUP(B540,MacReports!B:B,MacReports!D:D,"")</f>
        <v>0</v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>
        <f>_xlfn.XLOOKUP(B559,MacReports!B:B,MacReports!D:D,"")</f>
        <v>0</v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>
        <f>_xlfn.XLOOKUP(B576,MacReports!B:B,MacReports!D:D,"")</f>
        <v>0</v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>
        <f>_xlfn.XLOOKUP(B602,MacReports!B:B,MacReports!D:D,"")</f>
        <v>0</v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>
        <f>_xlfn.XLOOKUP(B608,MacReports!B:B,MacReports!D:D,"")</f>
        <v>0</v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>
        <f>_xlfn.XLOOKUP(B612,MacReports!B:B,MacReports!D:D,"")</f>
        <v>0</v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>
        <f>_xlfn.XLOOKUP(B643,MacReports!B:B,MacReports!D:D,"")</f>
        <v>0</v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>
        <f>_xlfn.XLOOKUP(B648,MacReports!B:B,MacReports!D:D,"")</f>
        <v>0</v>
      </c>
    </row>
    <row r="649" spans="6:6">
      <c r="F649">
        <f>_xlfn.XLOOKUP(B649,MacReports!B:B,MacReports!D:D,"")</f>
        <v>0</v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>
        <f>_xlfn.XLOOKUP(B655,MacReports!B:B,MacReports!D:D,"")</f>
        <v>0</v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>
        <f>_xlfn.XLOOKUP(B684,MacReports!B:B,MacReports!D:D,"")</f>
        <v>0</v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>
        <f>_xlfn.XLOOKUP(B691,MacReports!B:B,MacReports!D:D,"")</f>
        <v>0</v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>
        <f>_xlfn.XLOOKUP(B710,MacReports!B:B,MacReports!D:D,"")</f>
        <v>0</v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>
        <f>_xlfn.XLOOKUP(B716,MacReports!B:B,MacReports!D:D,"")</f>
        <v>0</v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>
        <f>_xlfn.XLOOKUP(B720,MacReports!B:B,MacReports!D:D,"")</f>
        <v>0</v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>
        <f>_xlfn.XLOOKUP(B739,MacReports!B:B,MacReports!D:D,"")</f>
        <v>0</v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>
        <f>_xlfn.XLOOKUP(B751,MacReports!B:B,MacReports!D:D,"")</f>
        <v>0</v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>
        <f>_xlfn.XLOOKUP(B756,MacReports!B:B,MacReports!D:D,"")</f>
        <v>0</v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>
        <f>_xlfn.XLOOKUP(B763,MacReports!B:B,MacReports!D:D,"")</f>
        <v>0</v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>
        <f>_xlfn.XLOOKUP(B792,MacReports!B:B,MacReports!D:D,"")</f>
        <v>0</v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>
        <f>_xlfn.XLOOKUP(B799,MacReports!B:B,MacReports!D:D,"")</f>
        <v>0</v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307</v>
      </c>
    </row>
    <row r="2" spans="1:8" ht="15.75" thickBot="1">
      <c r="A2" s="20" t="s">
        <v>74</v>
      </c>
      <c r="B2" s="20" t="s">
        <v>75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76</v>
      </c>
      <c r="B3" s="5" t="s">
        <v>77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78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308</v>
      </c>
    </row>
    <row r="5" spans="1:8" ht="15.75" thickBot="1">
      <c r="A5" s="5" t="s">
        <v>79</v>
      </c>
      <c r="B5" s="5" t="s">
        <v>75</v>
      </c>
      <c r="C5" s="5" t="s">
        <v>45</v>
      </c>
      <c r="D5" s="8">
        <v>2019</v>
      </c>
      <c r="E5" s="9">
        <v>16</v>
      </c>
      <c r="F5" s="9">
        <v>2</v>
      </c>
      <c r="G5" s="19" t="s">
        <v>301</v>
      </c>
      <c r="H5" s="19" t="s">
        <v>301</v>
      </c>
    </row>
    <row r="6" spans="1:8" ht="15.75" thickBot="1">
      <c r="A6" s="5" t="s">
        <v>80</v>
      </c>
      <c r="B6" s="5" t="s">
        <v>81</v>
      </c>
      <c r="C6" s="5" t="s">
        <v>45</v>
      </c>
      <c r="D6" s="8">
        <v>2019</v>
      </c>
      <c r="E6" s="9">
        <v>13</v>
      </c>
      <c r="F6" s="9">
        <v>1.4</v>
      </c>
      <c r="G6" s="19" t="s">
        <v>301</v>
      </c>
      <c r="H6" s="19" t="s">
        <v>309</v>
      </c>
    </row>
    <row r="7" spans="1:8" ht="15.75" thickBot="1">
      <c r="A7" s="5" t="s">
        <v>82</v>
      </c>
      <c r="B7" s="5" t="s">
        <v>83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84</v>
      </c>
      <c r="B8" s="5" t="s">
        <v>85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84</v>
      </c>
      <c r="B9" s="5" t="s">
        <v>85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84</v>
      </c>
      <c r="B10" s="5" t="s">
        <v>85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84</v>
      </c>
      <c r="B11" s="5" t="s">
        <v>85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86</v>
      </c>
      <c r="B12" s="5" t="s">
        <v>83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86</v>
      </c>
      <c r="B13" s="5" t="s">
        <v>83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86</v>
      </c>
      <c r="B14" s="5" t="s">
        <v>83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86</v>
      </c>
      <c r="B15" s="5" t="s">
        <v>83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86</v>
      </c>
      <c r="B16" s="5" t="s">
        <v>83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86</v>
      </c>
      <c r="B17" s="5" t="s">
        <v>83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87</v>
      </c>
      <c r="B18" s="5" t="s">
        <v>88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89</v>
      </c>
      <c r="B19" s="5" t="s">
        <v>90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91</v>
      </c>
      <c r="B20" s="5" t="s">
        <v>92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93</v>
      </c>
      <c r="B21" s="5" t="s">
        <v>88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94</v>
      </c>
      <c r="B22" s="5" t="s">
        <v>90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95</v>
      </c>
      <c r="B23" s="5" t="s">
        <v>92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96</v>
      </c>
      <c r="B24" s="5" t="s">
        <v>97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98</v>
      </c>
      <c r="B25" s="5" t="s">
        <v>99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100</v>
      </c>
      <c r="B26" s="5" t="s">
        <v>99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101</v>
      </c>
      <c r="B27" s="5" t="s">
        <v>99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101</v>
      </c>
      <c r="B28" s="5" t="s">
        <v>99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101</v>
      </c>
      <c r="B29" s="5" t="s">
        <v>99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102</v>
      </c>
      <c r="B30" s="5" t="s">
        <v>99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101</v>
      </c>
      <c r="B31" s="5" t="s">
        <v>99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103</v>
      </c>
      <c r="B32" s="5" t="s">
        <v>104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105</v>
      </c>
      <c r="B33" s="5" t="s">
        <v>106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107</v>
      </c>
      <c r="B34" s="5" t="s">
        <v>108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109</v>
      </c>
      <c r="B35" s="5" t="s">
        <v>108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110</v>
      </c>
      <c r="B36" s="7" t="s">
        <v>106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110</v>
      </c>
      <c r="B37" s="7" t="s">
        <v>106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111</v>
      </c>
      <c r="B38" s="5" t="s">
        <v>104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112</v>
      </c>
      <c r="B39" s="7" t="s">
        <v>113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114</v>
      </c>
      <c r="B40" s="7" t="s">
        <v>113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115</v>
      </c>
      <c r="B41" s="7" t="s">
        <v>116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117</v>
      </c>
      <c r="B42" s="7" t="s">
        <v>116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118</v>
      </c>
      <c r="B43" s="7" t="s">
        <v>119</v>
      </c>
      <c r="C43" s="5" t="s">
        <v>45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120</v>
      </c>
      <c r="B44" s="7" t="s">
        <v>121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122</v>
      </c>
      <c r="B45" s="7" t="s">
        <v>121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123</v>
      </c>
      <c r="B46" s="7" t="s">
        <v>121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124</v>
      </c>
      <c r="B47" s="7" t="s">
        <v>125</v>
      </c>
      <c r="C47" s="5" t="s">
        <v>45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126</v>
      </c>
      <c r="B48" s="7" t="s">
        <v>125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127</v>
      </c>
      <c r="B49" s="7" t="s">
        <v>125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128</v>
      </c>
      <c r="B50" s="7" t="s">
        <v>129</v>
      </c>
      <c r="C50" s="5" t="s">
        <v>45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128</v>
      </c>
      <c r="B51" s="7" t="s">
        <v>129</v>
      </c>
      <c r="C51" s="7" t="s">
        <v>45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130</v>
      </c>
      <c r="B52" s="7" t="s">
        <v>131</v>
      </c>
      <c r="C52" s="7" t="s">
        <v>45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130</v>
      </c>
      <c r="B53" s="7" t="s">
        <v>131</v>
      </c>
      <c r="C53" s="7" t="s">
        <v>45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130</v>
      </c>
      <c r="B54" s="7" t="s">
        <v>131</v>
      </c>
      <c r="C54" s="7" t="s">
        <v>45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130</v>
      </c>
      <c r="B55" s="7" t="s">
        <v>131</v>
      </c>
      <c r="C55" s="7" t="s">
        <v>45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132</v>
      </c>
      <c r="B56" s="7" t="s">
        <v>133</v>
      </c>
      <c r="C56" s="7" t="s">
        <v>45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134</v>
      </c>
      <c r="B57" s="7" t="s">
        <v>133</v>
      </c>
      <c r="C57" s="7" t="s">
        <v>45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135</v>
      </c>
      <c r="B58" s="7" t="s">
        <v>136</v>
      </c>
      <c r="C58" s="7" t="s">
        <v>45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135</v>
      </c>
      <c r="B59" s="7" t="s">
        <v>136</v>
      </c>
      <c r="C59" s="7" t="s">
        <v>45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135</v>
      </c>
      <c r="B60" s="7" t="s">
        <v>136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137</v>
      </c>
      <c r="B61" s="7" t="s">
        <v>138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139</v>
      </c>
      <c r="B62" s="7" t="s">
        <v>140</v>
      </c>
      <c r="C62" s="7" t="s">
        <v>45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141</v>
      </c>
      <c r="B63" s="7" t="s">
        <v>142</v>
      </c>
      <c r="C63" s="7" t="s">
        <v>45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143</v>
      </c>
      <c r="B64" s="7" t="s">
        <v>144</v>
      </c>
      <c r="C64" s="7" t="s">
        <v>45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145</v>
      </c>
      <c r="B65" s="7" t="s">
        <v>146</v>
      </c>
      <c r="C65" s="7" t="s">
        <v>45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147</v>
      </c>
      <c r="B66" s="7" t="s">
        <v>148</v>
      </c>
      <c r="C66" s="7" t="s">
        <v>301</v>
      </c>
      <c r="D66" s="9">
        <v>2013</v>
      </c>
      <c r="E66" s="7"/>
      <c r="F66" s="9">
        <v>5</v>
      </c>
    </row>
    <row r="67" spans="1:6" ht="15.75" thickBot="1">
      <c r="A67" s="7" t="s">
        <v>149</v>
      </c>
      <c r="B67" s="7" t="s">
        <v>150</v>
      </c>
      <c r="C67" s="7" t="s">
        <v>300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151</v>
      </c>
      <c r="B68" s="7" t="s">
        <v>150</v>
      </c>
      <c r="C68" s="7" t="s">
        <v>300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152</v>
      </c>
      <c r="B69" s="7" t="s">
        <v>153</v>
      </c>
      <c r="C69" s="7" t="s">
        <v>300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154</v>
      </c>
      <c r="C70" s="7"/>
      <c r="D70" s="7"/>
      <c r="E70" s="7"/>
      <c r="F70" s="9">
        <v>2</v>
      </c>
    </row>
    <row r="71" spans="1:6" ht="15.75" thickBot="1">
      <c r="A71" s="7"/>
      <c r="B71" s="7" t="s">
        <v>154</v>
      </c>
      <c r="C71" s="7"/>
      <c r="D71" s="7"/>
      <c r="E71" s="7"/>
      <c r="F71" s="9">
        <v>2</v>
      </c>
    </row>
    <row r="72" spans="1:6" ht="15.75" thickBot="1">
      <c r="A72" s="7"/>
      <c r="B72" s="7" t="s">
        <v>154</v>
      </c>
      <c r="C72" s="7"/>
      <c r="D72" s="7"/>
      <c r="E72" s="7"/>
      <c r="F72" s="9">
        <v>2</v>
      </c>
    </row>
    <row r="73" spans="1:6" ht="15.75" thickBot="1">
      <c r="A73" s="7"/>
      <c r="B73" s="7" t="s">
        <v>154</v>
      </c>
      <c r="C73" s="7"/>
      <c r="D73" s="7"/>
      <c r="E73" s="7"/>
      <c r="F73" s="9">
        <v>2</v>
      </c>
    </row>
    <row r="74" spans="1:6" ht="15.75" thickBot="1">
      <c r="A74" s="7"/>
      <c r="B74" s="10" t="s">
        <v>155</v>
      </c>
      <c r="C74" s="10"/>
      <c r="D74" s="7"/>
      <c r="E74" s="7"/>
      <c r="F74" s="9">
        <v>1.74</v>
      </c>
    </row>
    <row r="75" spans="1:6" ht="15.75" thickBot="1">
      <c r="A75" s="7"/>
      <c r="B75" s="7" t="s">
        <v>154</v>
      </c>
      <c r="C75" s="7"/>
      <c r="D75" s="7"/>
      <c r="E75" s="7"/>
      <c r="F75" s="9">
        <v>2</v>
      </c>
    </row>
    <row r="76" spans="1:6" ht="15.75" thickBot="1">
      <c r="A76" s="7"/>
      <c r="B76" s="10" t="s">
        <v>155</v>
      </c>
      <c r="C76" s="10"/>
      <c r="D76" s="7"/>
      <c r="E76" s="7"/>
      <c r="F76" s="9">
        <v>1.74</v>
      </c>
    </row>
    <row r="77" spans="1:6" ht="15.75" thickBot="1">
      <c r="A77" s="7"/>
      <c r="B77" s="10" t="s">
        <v>156</v>
      </c>
      <c r="C77" s="10"/>
      <c r="D77" s="7"/>
      <c r="E77" s="7"/>
      <c r="F77" s="9">
        <v>1.8</v>
      </c>
    </row>
    <row r="78" spans="1:6" ht="15.75" thickBot="1">
      <c r="A78" s="7"/>
      <c r="B78" s="7" t="s">
        <v>154</v>
      </c>
      <c r="C78" s="7"/>
      <c r="D78" s="7"/>
      <c r="E78" s="7"/>
      <c r="F78" s="9">
        <v>2</v>
      </c>
    </row>
    <row r="79" spans="1:6" ht="15.75" thickBot="1">
      <c r="A79" s="7"/>
      <c r="B79" s="7" t="s">
        <v>157</v>
      </c>
      <c r="C79" s="7"/>
      <c r="D79" s="7"/>
      <c r="E79" s="7"/>
      <c r="F79" s="9">
        <v>1.8</v>
      </c>
    </row>
    <row r="80" spans="1:6" ht="15.75" thickBot="1">
      <c r="A80" s="7"/>
      <c r="B80" s="7" t="s">
        <v>158</v>
      </c>
      <c r="C80" s="7"/>
      <c r="D80" s="7"/>
      <c r="E80" s="7"/>
      <c r="F80" s="9">
        <v>1.26</v>
      </c>
    </row>
    <row r="81" spans="1:6" ht="15.75" thickBot="1">
      <c r="A81" s="7"/>
      <c r="B81" s="7" t="s">
        <v>159</v>
      </c>
      <c r="C81" s="7"/>
      <c r="D81" s="7"/>
      <c r="E81" s="7"/>
      <c r="F81" s="9">
        <v>1.26</v>
      </c>
    </row>
    <row r="82" spans="1:6" ht="15.75" thickBot="1">
      <c r="A82" s="7"/>
      <c r="B82" s="7" t="s">
        <v>160</v>
      </c>
      <c r="C82" s="7"/>
      <c r="D82" s="7"/>
      <c r="E82" s="7"/>
      <c r="F82" s="9">
        <v>1.26</v>
      </c>
    </row>
    <row r="83" spans="1:6" ht="15.75" thickBot="1">
      <c r="A83" s="7"/>
      <c r="B83" s="10" t="s">
        <v>161</v>
      </c>
      <c r="C83" s="10"/>
      <c r="D83" s="7"/>
      <c r="E83" s="7"/>
      <c r="F83" s="9">
        <v>1.26</v>
      </c>
    </row>
    <row r="84" spans="1:6" ht="15.75" thickBot="1">
      <c r="A84" s="7"/>
      <c r="B84" s="7" t="s">
        <v>162</v>
      </c>
      <c r="C84" s="7"/>
      <c r="D84" s="7"/>
      <c r="E84" s="7"/>
      <c r="F84" s="9">
        <v>1.17</v>
      </c>
    </row>
    <row r="85" spans="1:6" ht="15.75" thickBot="1">
      <c r="A85" s="7"/>
      <c r="B85" s="7" t="s">
        <v>163</v>
      </c>
      <c r="C85" s="7"/>
      <c r="D85" s="7"/>
      <c r="E85" s="7"/>
      <c r="F85" s="9">
        <v>1.8</v>
      </c>
    </row>
    <row r="86" spans="1:6" ht="15.75" thickBot="1">
      <c r="A86" s="7"/>
      <c r="B86" s="7" t="s">
        <v>164</v>
      </c>
      <c r="C86" s="7"/>
      <c r="D86" s="7"/>
      <c r="E86" s="7"/>
      <c r="F86" s="9">
        <v>1.35</v>
      </c>
    </row>
    <row r="87" spans="1:6" ht="15.75" thickBot="1">
      <c r="A87" s="7"/>
      <c r="B87" s="6" t="s">
        <v>165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166</v>
      </c>
      <c r="C88" s="6"/>
      <c r="D88" s="7"/>
      <c r="E88" s="7"/>
      <c r="F88" s="9">
        <v>1.2</v>
      </c>
    </row>
    <row r="89" spans="1:6" ht="15.75" thickBot="1">
      <c r="A89" s="7"/>
      <c r="B89" s="6" t="s">
        <v>167</v>
      </c>
      <c r="C89" s="6"/>
      <c r="D89" s="7"/>
      <c r="E89" s="7"/>
      <c r="F89" s="9">
        <v>1.26</v>
      </c>
    </row>
    <row r="90" spans="1:6" ht="15.75" thickBot="1">
      <c r="A90" s="7"/>
      <c r="B90" s="7" t="s">
        <v>168</v>
      </c>
      <c r="C90" s="7"/>
      <c r="D90" s="7"/>
      <c r="E90" s="7"/>
      <c r="F90" s="9">
        <v>1.27</v>
      </c>
    </row>
    <row r="91" spans="1:6" ht="15.75" thickBot="1">
      <c r="A91" s="7"/>
      <c r="B91" s="7" t="s">
        <v>168</v>
      </c>
      <c r="C91" s="7"/>
      <c r="D91" s="7"/>
      <c r="E91" s="7"/>
      <c r="F91" s="9">
        <v>1.27</v>
      </c>
    </row>
    <row r="92" spans="1:6" ht="15.75" thickBot="1">
      <c r="A92" s="7"/>
      <c r="B92" s="7" t="s">
        <v>169</v>
      </c>
      <c r="C92" s="7"/>
      <c r="D92" s="7"/>
      <c r="E92" s="7"/>
      <c r="F92" s="9">
        <v>1.3</v>
      </c>
    </row>
    <row r="93" spans="1:6" ht="15.75" thickBot="1">
      <c r="A93" s="7"/>
      <c r="B93" s="7" t="s">
        <v>170</v>
      </c>
      <c r="C93" s="7"/>
      <c r="D93" s="7"/>
      <c r="E93" s="7"/>
      <c r="F93" s="9">
        <v>1.4</v>
      </c>
    </row>
    <row r="94" spans="1:6" ht="15.75" thickBot="1">
      <c r="A94" s="7"/>
      <c r="B94" s="7" t="s">
        <v>171</v>
      </c>
      <c r="C94" s="7"/>
      <c r="D94" s="7"/>
      <c r="E94" s="7"/>
      <c r="F94" s="9">
        <v>1.4</v>
      </c>
    </row>
    <row r="95" spans="1:6" ht="15.75" thickBot="1">
      <c r="A95" s="7"/>
      <c r="B95" s="7" t="s">
        <v>172</v>
      </c>
      <c r="C95" s="7"/>
      <c r="D95" s="7"/>
      <c r="E95" s="7"/>
      <c r="F95" s="9">
        <v>3.26</v>
      </c>
    </row>
    <row r="96" spans="1:6" ht="15.75" thickBot="1">
      <c r="A96" s="7"/>
      <c r="B96" s="7" t="s">
        <v>173</v>
      </c>
      <c r="C96" s="7"/>
      <c r="D96" s="7"/>
      <c r="E96" s="7"/>
      <c r="F96" s="9">
        <v>5.23</v>
      </c>
    </row>
    <row r="97" spans="1:6" ht="15.75" thickBot="1">
      <c r="A97" s="7"/>
      <c r="B97" s="7" t="s">
        <v>174</v>
      </c>
      <c r="C97" s="7"/>
      <c r="D97" s="7"/>
      <c r="E97" s="7"/>
      <c r="F97" s="9">
        <v>7.5</v>
      </c>
    </row>
    <row r="98" spans="1:6" ht="15.75" thickBot="1">
      <c r="A98" s="7"/>
      <c r="B98" s="7" t="s">
        <v>175</v>
      </c>
      <c r="C98" s="7"/>
      <c r="D98" s="7"/>
      <c r="E98" s="7"/>
      <c r="F98" s="9">
        <v>6.6</v>
      </c>
    </row>
    <row r="99" spans="1:6" ht="15.75" thickBot="1">
      <c r="A99" s="7"/>
      <c r="B99" s="7" t="s">
        <v>176</v>
      </c>
      <c r="C99" s="7"/>
      <c r="D99" s="7"/>
      <c r="E99" s="7"/>
      <c r="F99" s="9">
        <v>5.6</v>
      </c>
    </row>
    <row r="100" spans="1:6" ht="15.75" thickBot="1">
      <c r="A100" s="7"/>
      <c r="B100" s="7" t="s">
        <v>177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178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179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180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181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182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183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184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185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186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187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188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189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190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191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192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193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194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195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196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197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198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199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200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201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202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203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204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205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206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207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208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209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210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211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212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213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204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214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215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216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217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218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219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220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221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222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223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224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225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226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227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228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229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230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231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232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229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233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234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235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236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237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238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239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240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241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242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243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244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245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246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247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248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249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250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251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252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253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254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255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256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257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258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259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204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214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215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216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217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218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219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220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260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261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262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263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164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264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250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265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266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267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268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269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270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271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272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273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274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251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275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276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277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278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279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280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281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282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283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284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285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286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287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288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289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290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291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292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293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294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295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296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297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298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299</v>
      </c>
      <c r="C236" s="28"/>
      <c r="D236" s="27"/>
      <c r="E236" s="7"/>
      <c r="F236" s="9">
        <v>7.6</v>
      </c>
    </row>
    <row r="237" spans="1:6">
      <c r="B237" t="s">
        <v>154</v>
      </c>
      <c r="F237">
        <v>2</v>
      </c>
    </row>
    <row r="238" spans="1:6">
      <c r="B238" t="s">
        <v>154</v>
      </c>
      <c r="F238">
        <v>2</v>
      </c>
    </row>
    <row r="239" spans="1:6">
      <c r="B239" t="s">
        <v>154</v>
      </c>
      <c r="F239">
        <v>2</v>
      </c>
    </row>
    <row r="240" spans="1:6">
      <c r="B240" t="s">
        <v>154</v>
      </c>
      <c r="F240">
        <v>2</v>
      </c>
    </row>
    <row r="241" spans="2:6">
      <c r="B241" t="s">
        <v>155</v>
      </c>
      <c r="F241">
        <v>1.74</v>
      </c>
    </row>
    <row r="242" spans="2:6">
      <c r="B242" t="s">
        <v>154</v>
      </c>
      <c r="F242">
        <v>2</v>
      </c>
    </row>
    <row r="243" spans="2:6">
      <c r="B243" t="s">
        <v>155</v>
      </c>
      <c r="F243">
        <v>1.74</v>
      </c>
    </row>
    <row r="244" spans="2:6">
      <c r="B244" t="s">
        <v>156</v>
      </c>
      <c r="F244">
        <v>1.8</v>
      </c>
    </row>
    <row r="245" spans="2:6">
      <c r="B245" t="s">
        <v>154</v>
      </c>
      <c r="F245">
        <v>2</v>
      </c>
    </row>
    <row r="246" spans="2:6">
      <c r="B246" t="s">
        <v>157</v>
      </c>
      <c r="F246">
        <v>1.8</v>
      </c>
    </row>
    <row r="247" spans="2:6">
      <c r="B247" t="s">
        <v>158</v>
      </c>
      <c r="F247">
        <v>1.26</v>
      </c>
    </row>
    <row r="248" spans="2:6">
      <c r="B248" t="s">
        <v>159</v>
      </c>
      <c r="F248">
        <v>1.26</v>
      </c>
    </row>
    <row r="249" spans="2:6">
      <c r="B249" t="s">
        <v>160</v>
      </c>
      <c r="F249">
        <v>1.26</v>
      </c>
    </row>
    <row r="250" spans="2:6">
      <c r="B250" t="s">
        <v>161</v>
      </c>
      <c r="F250">
        <v>1.26</v>
      </c>
    </row>
    <row r="251" spans="2:6">
      <c r="B251" t="s">
        <v>162</v>
      </c>
      <c r="F251">
        <v>1.17</v>
      </c>
    </row>
    <row r="252" spans="2:6">
      <c r="B252" t="s">
        <v>163</v>
      </c>
      <c r="F252">
        <v>1.8</v>
      </c>
    </row>
    <row r="253" spans="2:6">
      <c r="B253" t="s">
        <v>164</v>
      </c>
      <c r="F253">
        <v>1.35</v>
      </c>
    </row>
    <row r="254" spans="2:6">
      <c r="B254" t="s">
        <v>165</v>
      </c>
      <c r="F254">
        <v>1.1000000000000001</v>
      </c>
    </row>
    <row r="255" spans="2:6">
      <c r="B255" t="s">
        <v>166</v>
      </c>
      <c r="F255">
        <v>1.2</v>
      </c>
    </row>
    <row r="256" spans="2:6">
      <c r="B256" t="s">
        <v>167</v>
      </c>
      <c r="F256">
        <v>1.26</v>
      </c>
    </row>
    <row r="257" spans="2:6">
      <c r="B257" t="s">
        <v>168</v>
      </c>
      <c r="F257">
        <v>1.27</v>
      </c>
    </row>
    <row r="258" spans="2:6">
      <c r="B258" t="s">
        <v>168</v>
      </c>
      <c r="F258">
        <v>1.27</v>
      </c>
    </row>
    <row r="259" spans="2:6">
      <c r="B259" t="s">
        <v>169</v>
      </c>
      <c r="F259">
        <v>1.3</v>
      </c>
    </row>
    <row r="260" spans="2:6">
      <c r="B260" t="s">
        <v>170</v>
      </c>
      <c r="F260">
        <v>1.4</v>
      </c>
    </row>
    <row r="261" spans="2:6">
      <c r="B261" t="s">
        <v>171</v>
      </c>
      <c r="F261">
        <v>1.4</v>
      </c>
    </row>
    <row r="262" spans="2:6">
      <c r="B262" t="s">
        <v>172</v>
      </c>
      <c r="F262">
        <v>3.26</v>
      </c>
    </row>
    <row r="263" spans="2:6">
      <c r="B263" t="s">
        <v>173</v>
      </c>
      <c r="F263">
        <v>5.23</v>
      </c>
    </row>
    <row r="264" spans="2:6">
      <c r="B264" t="s">
        <v>174</v>
      </c>
      <c r="F264">
        <v>7.5</v>
      </c>
    </row>
    <row r="265" spans="2:6">
      <c r="B265" t="s">
        <v>175</v>
      </c>
      <c r="F265">
        <v>6.6</v>
      </c>
    </row>
    <row r="266" spans="2:6">
      <c r="B266" t="s">
        <v>176</v>
      </c>
      <c r="F266">
        <v>1.3</v>
      </c>
    </row>
    <row r="267" spans="2:6">
      <c r="B267" t="s">
        <v>177</v>
      </c>
      <c r="F267">
        <v>7.65</v>
      </c>
    </row>
    <row r="268" spans="2:6">
      <c r="B268" t="s">
        <v>178</v>
      </c>
      <c r="F268">
        <v>5.26</v>
      </c>
    </row>
    <row r="269" spans="2:6">
      <c r="B269" t="s">
        <v>179</v>
      </c>
      <c r="F269">
        <v>9</v>
      </c>
    </row>
    <row r="270" spans="2:6">
      <c r="B270" t="s">
        <v>180</v>
      </c>
      <c r="F270">
        <v>2.2999999999999998</v>
      </c>
    </row>
    <row r="271" spans="2:6">
      <c r="B271" t="s">
        <v>181</v>
      </c>
      <c r="F271">
        <v>2.2999999999999998</v>
      </c>
    </row>
    <row r="272" spans="2:6">
      <c r="B272" t="s">
        <v>182</v>
      </c>
      <c r="F272">
        <v>5.26</v>
      </c>
    </row>
    <row r="273" spans="2:6">
      <c r="B273" t="s">
        <v>183</v>
      </c>
      <c r="F273">
        <v>9.4</v>
      </c>
    </row>
    <row r="274" spans="2:6">
      <c r="B274" t="s">
        <v>184</v>
      </c>
      <c r="F274">
        <v>5.9</v>
      </c>
    </row>
    <row r="275" spans="2:6">
      <c r="B275" t="s">
        <v>185</v>
      </c>
      <c r="F275">
        <v>5.26</v>
      </c>
    </row>
    <row r="276" spans="2:6">
      <c r="B276" t="s">
        <v>186</v>
      </c>
      <c r="F276">
        <v>1.3</v>
      </c>
    </row>
    <row r="277" spans="2:6">
      <c r="B277" t="s">
        <v>187</v>
      </c>
      <c r="F277">
        <v>3</v>
      </c>
    </row>
    <row r="278" spans="2:6">
      <c r="B278" t="s">
        <v>188</v>
      </c>
      <c r="F278">
        <v>3</v>
      </c>
    </row>
    <row r="279" spans="2:6">
      <c r="B279" t="s">
        <v>189</v>
      </c>
      <c r="F279">
        <v>5.2</v>
      </c>
    </row>
    <row r="280" spans="2:6">
      <c r="B280" t="s">
        <v>190</v>
      </c>
      <c r="F280">
        <v>4.25</v>
      </c>
    </row>
    <row r="281" spans="2:6">
      <c r="B281" t="s">
        <v>191</v>
      </c>
      <c r="F281">
        <v>3.33</v>
      </c>
    </row>
    <row r="282" spans="2:6">
      <c r="B282" t="s">
        <v>192</v>
      </c>
      <c r="F282">
        <v>2.8</v>
      </c>
    </row>
    <row r="283" spans="2:6">
      <c r="B283" t="s">
        <v>193</v>
      </c>
      <c r="F283">
        <v>1.7</v>
      </c>
    </row>
    <row r="284" spans="2:6">
      <c r="B284" t="s">
        <v>194</v>
      </c>
      <c r="F284">
        <v>1.48</v>
      </c>
    </row>
    <row r="285" spans="2:6">
      <c r="B285" t="s">
        <v>195</v>
      </c>
      <c r="F285">
        <v>3.33</v>
      </c>
    </row>
    <row r="286" spans="2:6">
      <c r="B286" t="s">
        <v>196</v>
      </c>
      <c r="F286">
        <v>0.75</v>
      </c>
    </row>
    <row r="287" spans="2:6">
      <c r="B287" t="s">
        <v>197</v>
      </c>
      <c r="F287">
        <v>4.25</v>
      </c>
    </row>
    <row r="288" spans="2:6">
      <c r="B288" t="s">
        <v>198</v>
      </c>
      <c r="F288">
        <v>1.44</v>
      </c>
    </row>
    <row r="289" spans="2:6">
      <c r="B289" t="s">
        <v>199</v>
      </c>
      <c r="F289">
        <v>1.1299999999999999</v>
      </c>
    </row>
    <row r="290" spans="2:6">
      <c r="B290" t="s">
        <v>200</v>
      </c>
      <c r="F290">
        <v>1.1299999999999999</v>
      </c>
    </row>
    <row r="291" spans="2:6">
      <c r="B291" t="s">
        <v>201</v>
      </c>
      <c r="F291">
        <v>1.5</v>
      </c>
    </row>
    <row r="292" spans="2:6">
      <c r="B292" t="s">
        <v>202</v>
      </c>
      <c r="F292">
        <v>1.46</v>
      </c>
    </row>
    <row r="293" spans="2:6">
      <c r="B293" t="s">
        <v>203</v>
      </c>
      <c r="F293">
        <v>1.18</v>
      </c>
    </row>
    <row r="294" spans="2:6">
      <c r="B294" t="s">
        <v>204</v>
      </c>
      <c r="F294">
        <v>1.73</v>
      </c>
    </row>
    <row r="295" spans="2:6">
      <c r="B295" t="s">
        <v>205</v>
      </c>
      <c r="F295">
        <v>1.73</v>
      </c>
    </row>
    <row r="296" spans="2:6">
      <c r="B296" t="s">
        <v>206</v>
      </c>
      <c r="F296">
        <v>1.68</v>
      </c>
    </row>
    <row r="297" spans="2:6">
      <c r="B297" t="s">
        <v>207</v>
      </c>
      <c r="F297">
        <v>1.64</v>
      </c>
    </row>
    <row r="298" spans="2:6">
      <c r="B298" t="s">
        <v>208</v>
      </c>
      <c r="F298">
        <v>2.2999999999999998</v>
      </c>
    </row>
    <row r="299" spans="2:6">
      <c r="B299" t="s">
        <v>209</v>
      </c>
      <c r="F299">
        <v>1.96</v>
      </c>
    </row>
    <row r="300" spans="2:6">
      <c r="B300" t="s">
        <v>210</v>
      </c>
      <c r="F300">
        <v>1.7</v>
      </c>
    </row>
    <row r="301" spans="2:6">
      <c r="B301" t="s">
        <v>211</v>
      </c>
      <c r="F301">
        <v>2.7</v>
      </c>
    </row>
    <row r="302" spans="2:6">
      <c r="B302" t="s">
        <v>212</v>
      </c>
      <c r="F302">
        <v>2.74</v>
      </c>
    </row>
    <row r="303" spans="2:6">
      <c r="B303" t="s">
        <v>213</v>
      </c>
      <c r="F303">
        <v>2</v>
      </c>
    </row>
    <row r="304" spans="2:6">
      <c r="B304" t="s">
        <v>204</v>
      </c>
      <c r="F304">
        <v>1.73</v>
      </c>
    </row>
    <row r="305" spans="2:6">
      <c r="B305" t="s">
        <v>214</v>
      </c>
      <c r="F305">
        <v>1.68</v>
      </c>
    </row>
    <row r="306" spans="2:6">
      <c r="B306" t="s">
        <v>215</v>
      </c>
      <c r="F306">
        <v>1.64</v>
      </c>
    </row>
    <row r="307" spans="2:6">
      <c r="B307" t="s">
        <v>216</v>
      </c>
      <c r="F307">
        <v>2.2999999999999998</v>
      </c>
    </row>
    <row r="308" spans="2:6">
      <c r="B308" t="s">
        <v>217</v>
      </c>
      <c r="F308">
        <v>1.96</v>
      </c>
    </row>
    <row r="309" spans="2:6">
      <c r="B309" t="s">
        <v>218</v>
      </c>
      <c r="F309">
        <v>1.7</v>
      </c>
    </row>
    <row r="310" spans="2:6">
      <c r="B310" t="s">
        <v>219</v>
      </c>
      <c r="F310">
        <v>2.7</v>
      </c>
    </row>
    <row r="311" spans="2:6">
      <c r="B311" t="s">
        <v>220</v>
      </c>
      <c r="F311">
        <v>2.74</v>
      </c>
    </row>
    <row r="312" spans="2:6">
      <c r="B312" t="s">
        <v>221</v>
      </c>
      <c r="F312">
        <v>1.36</v>
      </c>
    </row>
    <row r="313" spans="2:6">
      <c r="B313" t="s">
        <v>222</v>
      </c>
      <c r="F313">
        <v>1.4</v>
      </c>
    </row>
    <row r="314" spans="2:6">
      <c r="B314" t="s">
        <v>223</v>
      </c>
      <c r="F314">
        <v>2.5</v>
      </c>
    </row>
    <row r="315" spans="2:6">
      <c r="B315" t="s">
        <v>224</v>
      </c>
      <c r="F315">
        <v>1.7</v>
      </c>
    </row>
    <row r="316" spans="2:6">
      <c r="B316" t="s">
        <v>225</v>
      </c>
      <c r="F316">
        <v>1.32</v>
      </c>
    </row>
    <row r="317" spans="2:6">
      <c r="B317" t="s">
        <v>226</v>
      </c>
      <c r="F317">
        <v>1.36</v>
      </c>
    </row>
    <row r="318" spans="2:6">
      <c r="B318" t="s">
        <v>227</v>
      </c>
      <c r="F318">
        <v>1.7</v>
      </c>
    </row>
    <row r="319" spans="2:6">
      <c r="B319" t="s">
        <v>228</v>
      </c>
      <c r="F319">
        <v>1.3</v>
      </c>
    </row>
    <row r="320" spans="2:6">
      <c r="B320" t="s">
        <v>229</v>
      </c>
      <c r="F320">
        <v>1.8</v>
      </c>
    </row>
    <row r="321" spans="2:6">
      <c r="B321" t="s">
        <v>230</v>
      </c>
      <c r="F321">
        <v>1.32</v>
      </c>
    </row>
    <row r="322" spans="2:6">
      <c r="B322" t="s">
        <v>231</v>
      </c>
      <c r="F322">
        <v>1.27</v>
      </c>
    </row>
    <row r="323" spans="2:6">
      <c r="B323" t="s">
        <v>232</v>
      </c>
      <c r="F323">
        <v>1.4</v>
      </c>
    </row>
    <row r="324" spans="2:6">
      <c r="B324" t="s">
        <v>229</v>
      </c>
      <c r="F324">
        <v>1.8</v>
      </c>
    </row>
    <row r="325" spans="2:6">
      <c r="B325" t="s">
        <v>233</v>
      </c>
      <c r="F325">
        <v>1.4</v>
      </c>
    </row>
    <row r="326" spans="2:6">
      <c r="B326" t="s">
        <v>234</v>
      </c>
      <c r="F326">
        <v>2.63</v>
      </c>
    </row>
    <row r="327" spans="2:6">
      <c r="B327" t="s">
        <v>235</v>
      </c>
      <c r="F327">
        <v>2.63</v>
      </c>
    </row>
    <row r="328" spans="2:6">
      <c r="B328" t="s">
        <v>236</v>
      </c>
      <c r="F328">
        <v>2</v>
      </c>
    </row>
    <row r="329" spans="2:6">
      <c r="B329" t="s">
        <v>237</v>
      </c>
      <c r="F329">
        <v>1.8</v>
      </c>
    </row>
    <row r="330" spans="2:6">
      <c r="B330" t="s">
        <v>238</v>
      </c>
      <c r="F330">
        <v>2.2000000000000002</v>
      </c>
    </row>
    <row r="331" spans="2:6">
      <c r="B331" t="s">
        <v>239</v>
      </c>
      <c r="F331">
        <v>2.63</v>
      </c>
    </row>
    <row r="332" spans="2:6">
      <c r="B332" t="s">
        <v>240</v>
      </c>
      <c r="F332">
        <v>2</v>
      </c>
    </row>
    <row r="333" spans="2:6">
      <c r="B333" t="s">
        <v>241</v>
      </c>
      <c r="F333">
        <v>1.47</v>
      </c>
    </row>
    <row r="334" spans="2:6">
      <c r="B334" t="s">
        <v>242</v>
      </c>
      <c r="F334">
        <v>1.36</v>
      </c>
    </row>
    <row r="335" spans="2:6">
      <c r="B335" t="s">
        <v>243</v>
      </c>
      <c r="F335">
        <v>1.47</v>
      </c>
    </row>
    <row r="336" spans="2:6">
      <c r="B336" t="s">
        <v>244</v>
      </c>
      <c r="F336">
        <v>1.53</v>
      </c>
    </row>
    <row r="337" spans="2:6">
      <c r="B337" t="s">
        <v>245</v>
      </c>
      <c r="F337">
        <v>1.24</v>
      </c>
    </row>
    <row r="338" spans="2:6">
      <c r="B338" t="s">
        <v>246</v>
      </c>
      <c r="F338">
        <v>1.47</v>
      </c>
    </row>
    <row r="339" spans="2:6">
      <c r="B339" t="s">
        <v>247</v>
      </c>
      <c r="F339">
        <v>1.55</v>
      </c>
    </row>
    <row r="340" spans="2:6">
      <c r="B340" t="s">
        <v>248</v>
      </c>
      <c r="F340">
        <v>1.75</v>
      </c>
    </row>
    <row r="341" spans="2:6">
      <c r="B341" t="s">
        <v>249</v>
      </c>
      <c r="F341">
        <v>1.7</v>
      </c>
    </row>
    <row r="342" spans="2:6">
      <c r="B342" t="s">
        <v>250</v>
      </c>
      <c r="F342">
        <v>1.3</v>
      </c>
    </row>
    <row r="343" spans="2:6">
      <c r="B343" t="s">
        <v>251</v>
      </c>
      <c r="F343">
        <v>1.53</v>
      </c>
    </row>
    <row r="344" spans="2:6">
      <c r="B344" t="s">
        <v>252</v>
      </c>
      <c r="F344">
        <v>1.27</v>
      </c>
    </row>
    <row r="345" spans="2:6">
      <c r="B345" t="s">
        <v>253</v>
      </c>
      <c r="F345">
        <v>1.3</v>
      </c>
    </row>
    <row r="346" spans="2:6">
      <c r="B346" t="s">
        <v>254</v>
      </c>
      <c r="F346">
        <v>1.4</v>
      </c>
    </row>
    <row r="347" spans="2:6">
      <c r="B347" t="s">
        <v>255</v>
      </c>
      <c r="F347">
        <v>1.4</v>
      </c>
    </row>
    <row r="348" spans="2:6">
      <c r="B348" t="s">
        <v>256</v>
      </c>
      <c r="F348">
        <v>1.44</v>
      </c>
    </row>
    <row r="349" spans="2:6">
      <c r="B349" t="s">
        <v>257</v>
      </c>
      <c r="F349">
        <v>1.1299999999999999</v>
      </c>
    </row>
    <row r="350" spans="2:6">
      <c r="B350" t="s">
        <v>258</v>
      </c>
      <c r="F350">
        <v>1.1299999999999999</v>
      </c>
    </row>
    <row r="351" spans="2:6">
      <c r="B351" t="s">
        <v>259</v>
      </c>
      <c r="F351">
        <v>1.5</v>
      </c>
    </row>
    <row r="352" spans="2:6">
      <c r="B352" t="s">
        <v>204</v>
      </c>
      <c r="F352">
        <v>1.73</v>
      </c>
    </row>
    <row r="353" spans="2:6">
      <c r="B353" t="s">
        <v>214</v>
      </c>
      <c r="F353">
        <v>1.68</v>
      </c>
    </row>
    <row r="354" spans="2:6">
      <c r="B354" t="s">
        <v>215</v>
      </c>
      <c r="F354">
        <v>1.64</v>
      </c>
    </row>
    <row r="355" spans="2:6">
      <c r="B355" t="s">
        <v>216</v>
      </c>
      <c r="F355">
        <v>2.2999999999999998</v>
      </c>
    </row>
    <row r="356" spans="2:6">
      <c r="B356" t="s">
        <v>217</v>
      </c>
      <c r="F356">
        <v>1.96</v>
      </c>
    </row>
    <row r="357" spans="2:6">
      <c r="B357" t="s">
        <v>218</v>
      </c>
      <c r="F357">
        <v>1.7</v>
      </c>
    </row>
    <row r="358" spans="2:6">
      <c r="B358" t="s">
        <v>219</v>
      </c>
      <c r="F358">
        <v>2.7</v>
      </c>
    </row>
    <row r="359" spans="2:6">
      <c r="B359" t="s">
        <v>220</v>
      </c>
      <c r="F359">
        <v>2.74</v>
      </c>
    </row>
    <row r="360" spans="2:6">
      <c r="B360" t="s">
        <v>260</v>
      </c>
      <c r="F360">
        <v>1.36</v>
      </c>
    </row>
    <row r="361" spans="2:6">
      <c r="B361" t="s">
        <v>261</v>
      </c>
      <c r="F361">
        <v>2.5</v>
      </c>
    </row>
    <row r="362" spans="2:6">
      <c r="B362" t="s">
        <v>262</v>
      </c>
      <c r="F362">
        <v>1.7</v>
      </c>
    </row>
    <row r="363" spans="2:6">
      <c r="B363" t="s">
        <v>263</v>
      </c>
      <c r="F363">
        <v>1.32</v>
      </c>
    </row>
    <row r="364" spans="2:6">
      <c r="B364" t="s">
        <v>164</v>
      </c>
      <c r="F364">
        <v>1.36</v>
      </c>
    </row>
    <row r="365" spans="2:6">
      <c r="B365" t="s">
        <v>264</v>
      </c>
      <c r="F365">
        <v>1.7</v>
      </c>
    </row>
    <row r="366" spans="2:6">
      <c r="B366" t="s">
        <v>250</v>
      </c>
      <c r="F366">
        <v>1.3</v>
      </c>
    </row>
    <row r="367" spans="2:6">
      <c r="B367" t="s">
        <v>265</v>
      </c>
      <c r="F367">
        <v>1.32</v>
      </c>
    </row>
    <row r="368" spans="2:6">
      <c r="B368" t="s">
        <v>266</v>
      </c>
      <c r="F368">
        <v>1.27</v>
      </c>
    </row>
    <row r="369" spans="2:6">
      <c r="B369" t="s">
        <v>267</v>
      </c>
      <c r="F369">
        <v>1.4</v>
      </c>
    </row>
    <row r="370" spans="2:6">
      <c r="B370" t="s">
        <v>268</v>
      </c>
      <c r="F370">
        <v>2.63</v>
      </c>
    </row>
    <row r="371" spans="2:6">
      <c r="B371" t="s">
        <v>269</v>
      </c>
      <c r="F371">
        <v>2.63</v>
      </c>
    </row>
    <row r="372" spans="2:6">
      <c r="B372" t="s">
        <v>270</v>
      </c>
      <c r="F372">
        <v>2</v>
      </c>
    </row>
    <row r="373" spans="2:6">
      <c r="B373" t="s">
        <v>271</v>
      </c>
      <c r="F373">
        <v>1.8</v>
      </c>
    </row>
    <row r="374" spans="2:6">
      <c r="B374" t="s">
        <v>239</v>
      </c>
      <c r="F374">
        <v>2.63</v>
      </c>
    </row>
    <row r="375" spans="2:6">
      <c r="B375" t="s">
        <v>272</v>
      </c>
      <c r="F375">
        <v>1.47</v>
      </c>
    </row>
    <row r="376" spans="2:6">
      <c r="B376" t="s">
        <v>273</v>
      </c>
      <c r="F376">
        <v>1.36</v>
      </c>
    </row>
    <row r="377" spans="2:6">
      <c r="B377" t="s">
        <v>274</v>
      </c>
      <c r="F377">
        <v>1.47</v>
      </c>
    </row>
    <row r="378" spans="2:6">
      <c r="B378" t="s">
        <v>251</v>
      </c>
      <c r="F378">
        <v>1.53</v>
      </c>
    </row>
    <row r="379" spans="2:6">
      <c r="B379" t="s">
        <v>275</v>
      </c>
      <c r="F379">
        <v>1.24</v>
      </c>
    </row>
    <row r="380" spans="2:6">
      <c r="B380" t="s">
        <v>276</v>
      </c>
      <c r="F380">
        <v>1.47</v>
      </c>
    </row>
    <row r="381" spans="2:6">
      <c r="B381" t="s">
        <v>277</v>
      </c>
      <c r="F381">
        <v>1.75</v>
      </c>
    </row>
    <row r="382" spans="2:6">
      <c r="B382" t="s">
        <v>278</v>
      </c>
      <c r="F382">
        <v>1.9</v>
      </c>
    </row>
    <row r="383" spans="2:6">
      <c r="B383" t="s">
        <v>279</v>
      </c>
      <c r="F383">
        <v>1.9</v>
      </c>
    </row>
    <row r="384" spans="2:6">
      <c r="B384" t="s">
        <v>280</v>
      </c>
      <c r="F384">
        <v>1.9</v>
      </c>
    </row>
    <row r="385" spans="2:6">
      <c r="B385" t="s">
        <v>281</v>
      </c>
      <c r="F385">
        <v>1.5</v>
      </c>
    </row>
    <row r="386" spans="2:6">
      <c r="B386" t="s">
        <v>282</v>
      </c>
      <c r="F386">
        <v>1.9</v>
      </c>
    </row>
    <row r="387" spans="2:6">
      <c r="B387" t="s">
        <v>283</v>
      </c>
      <c r="F387">
        <v>0.78</v>
      </c>
    </row>
    <row r="388" spans="2:6">
      <c r="B388" t="s">
        <v>284</v>
      </c>
      <c r="F388">
        <v>1.5</v>
      </c>
    </row>
    <row r="389" spans="2:6">
      <c r="B389" t="s">
        <v>285</v>
      </c>
      <c r="F389">
        <v>2.54</v>
      </c>
    </row>
    <row r="390" spans="2:6">
      <c r="B390" t="s">
        <v>286</v>
      </c>
      <c r="F390">
        <v>1.2</v>
      </c>
    </row>
    <row r="391" spans="2:6">
      <c r="B391" t="s">
        <v>287</v>
      </c>
      <c r="F391">
        <v>1.2</v>
      </c>
    </row>
    <row r="392" spans="2:6">
      <c r="B392" t="s">
        <v>288</v>
      </c>
      <c r="F392">
        <v>1.4</v>
      </c>
    </row>
    <row r="393" spans="2:6">
      <c r="B393" t="s">
        <v>289</v>
      </c>
      <c r="F393">
        <v>2.2999999999999998</v>
      </c>
    </row>
    <row r="394" spans="2:6">
      <c r="B394" t="s">
        <v>290</v>
      </c>
      <c r="F394">
        <v>0.33</v>
      </c>
    </row>
    <row r="395" spans="2:6">
      <c r="B395" t="s">
        <v>291</v>
      </c>
      <c r="F395">
        <v>4.45</v>
      </c>
    </row>
    <row r="396" spans="2:6">
      <c r="B396" t="s">
        <v>292</v>
      </c>
      <c r="F396">
        <v>4.3</v>
      </c>
    </row>
    <row r="397" spans="2:6">
      <c r="B397" t="s">
        <v>293</v>
      </c>
      <c r="F397">
        <v>4.57</v>
      </c>
    </row>
    <row r="398" spans="2:6">
      <c r="B398" t="s">
        <v>294</v>
      </c>
      <c r="F398">
        <v>4.9000000000000004</v>
      </c>
    </row>
    <row r="399" spans="2:6">
      <c r="B399" t="s">
        <v>295</v>
      </c>
      <c r="F399">
        <v>1.67</v>
      </c>
    </row>
    <row r="400" spans="2:6">
      <c r="B400" t="s">
        <v>296</v>
      </c>
      <c r="F400">
        <v>2.5</v>
      </c>
    </row>
    <row r="401" spans="2:6">
      <c r="B401" t="s">
        <v>297</v>
      </c>
      <c r="F401">
        <v>1.78</v>
      </c>
    </row>
    <row r="402" spans="2:6">
      <c r="B402" t="s">
        <v>298</v>
      </c>
      <c r="F402">
        <v>1.7</v>
      </c>
    </row>
    <row r="403" spans="2:6">
      <c r="B403" t="s">
        <v>299</v>
      </c>
      <c r="F403">
        <v>7.6</v>
      </c>
    </row>
    <row r="404" spans="2:6">
      <c r="B404" t="s">
        <v>332</v>
      </c>
      <c r="F404">
        <v>1.92</v>
      </c>
    </row>
    <row r="405" spans="2:6">
      <c r="B405" t="s">
        <v>333</v>
      </c>
      <c r="F405">
        <v>1.55</v>
      </c>
    </row>
    <row r="406" spans="2:6">
      <c r="B406" t="s">
        <v>334</v>
      </c>
      <c r="F406">
        <v>1.36</v>
      </c>
    </row>
    <row r="407" spans="2:6">
      <c r="B407" t="s">
        <v>335</v>
      </c>
      <c r="F407">
        <v>1.87</v>
      </c>
    </row>
    <row r="408" spans="2:6">
      <c r="B408" t="s">
        <v>336</v>
      </c>
      <c r="F408">
        <v>1.6</v>
      </c>
    </row>
    <row r="409" spans="2:6">
      <c r="B409" t="s">
        <v>337</v>
      </c>
      <c r="F409">
        <v>1.86</v>
      </c>
    </row>
    <row r="410" spans="2:6">
      <c r="B410" t="s">
        <v>338</v>
      </c>
      <c r="F410">
        <v>1.78</v>
      </c>
    </row>
    <row r="411" spans="2:6">
      <c r="B411" t="s">
        <v>339</v>
      </c>
      <c r="F411">
        <v>1.96</v>
      </c>
    </row>
    <row r="412" spans="2:6">
      <c r="B412" t="s">
        <v>340</v>
      </c>
      <c r="F412">
        <v>1.6</v>
      </c>
    </row>
    <row r="413" spans="2:6">
      <c r="B413" t="s">
        <v>341</v>
      </c>
      <c r="F413">
        <v>1.7</v>
      </c>
    </row>
    <row r="414" spans="2:6">
      <c r="B414" t="s">
        <v>342</v>
      </c>
      <c r="F414">
        <v>1.63</v>
      </c>
    </row>
    <row r="415" spans="2:6">
      <c r="B415" t="s">
        <v>343</v>
      </c>
      <c r="F415">
        <v>2.2000000000000002</v>
      </c>
    </row>
    <row r="416" spans="2:6">
      <c r="B416" t="s">
        <v>344</v>
      </c>
      <c r="F416">
        <v>2.2999999999999998</v>
      </c>
    </row>
    <row r="417" spans="2:6">
      <c r="B417" t="s">
        <v>345</v>
      </c>
      <c r="F417">
        <v>1.1200000000000001</v>
      </c>
    </row>
    <row r="418" spans="2:6">
      <c r="B418" t="s">
        <v>346</v>
      </c>
      <c r="F418">
        <v>1.55</v>
      </c>
    </row>
    <row r="419" spans="2:6">
      <c r="B419" t="s">
        <v>347</v>
      </c>
      <c r="F419">
        <v>1.36</v>
      </c>
    </row>
    <row r="420" spans="2:6">
      <c r="B420" t="s">
        <v>335</v>
      </c>
      <c r="F420">
        <v>1.87</v>
      </c>
    </row>
    <row r="421" spans="2:6">
      <c r="B421" t="s">
        <v>336</v>
      </c>
      <c r="F421">
        <v>1.6</v>
      </c>
    </row>
    <row r="422" spans="2:6">
      <c r="B422" t="s">
        <v>348</v>
      </c>
      <c r="F422">
        <v>1.86</v>
      </c>
    </row>
    <row r="423" spans="2:6">
      <c r="B423" t="s">
        <v>349</v>
      </c>
      <c r="F423">
        <v>1.78</v>
      </c>
    </row>
    <row r="424" spans="2:6">
      <c r="B424" t="s">
        <v>350</v>
      </c>
      <c r="F424">
        <v>1.96</v>
      </c>
    </row>
    <row r="425" spans="2:6">
      <c r="B425" t="s">
        <v>351</v>
      </c>
      <c r="F425">
        <v>1.6</v>
      </c>
    </row>
    <row r="426" spans="2:6">
      <c r="B426" t="s">
        <v>352</v>
      </c>
      <c r="F426">
        <v>1.7</v>
      </c>
    </row>
    <row r="427" spans="2:6">
      <c r="B427" t="s">
        <v>353</v>
      </c>
      <c r="F427">
        <v>1.63</v>
      </c>
    </row>
    <row r="428" spans="2:6">
      <c r="B428" t="s">
        <v>354</v>
      </c>
      <c r="F428">
        <v>2.2000000000000002</v>
      </c>
    </row>
    <row r="429" spans="2:6">
      <c r="B429" t="s">
        <v>344</v>
      </c>
      <c r="F429">
        <v>2.2999999999999998</v>
      </c>
    </row>
    <row r="430" spans="2:6">
      <c r="B430" t="s">
        <v>355</v>
      </c>
      <c r="F430">
        <v>1.1200000000000001</v>
      </c>
    </row>
    <row r="431" spans="2:6">
      <c r="B431" t="s">
        <v>356</v>
      </c>
      <c r="F431">
        <v>2.2999999999999998</v>
      </c>
    </row>
    <row r="432" spans="2:6">
      <c r="B432" t="s">
        <v>331</v>
      </c>
      <c r="F432">
        <v>1.6</v>
      </c>
    </row>
    <row r="433" spans="2:6">
      <c r="B433" t="s">
        <v>357</v>
      </c>
      <c r="F433">
        <v>1.6</v>
      </c>
    </row>
    <row r="434" spans="2:6">
      <c r="B434" t="s">
        <v>358</v>
      </c>
      <c r="F434">
        <v>1.76</v>
      </c>
    </row>
    <row r="435" spans="2:6">
      <c r="B435" t="s">
        <v>359</v>
      </c>
      <c r="F435">
        <v>2</v>
      </c>
    </row>
    <row r="436" spans="2:6">
      <c r="B436" t="s">
        <v>48</v>
      </c>
      <c r="F436">
        <v>1.48</v>
      </c>
    </row>
    <row r="437" spans="2:6">
      <c r="B437" t="s">
        <v>53</v>
      </c>
      <c r="F437">
        <v>1.53</v>
      </c>
    </row>
    <row r="438" spans="2:6">
      <c r="B438" t="s">
        <v>46</v>
      </c>
      <c r="F438">
        <v>1.37</v>
      </c>
    </row>
    <row r="439" spans="2:6">
      <c r="B439" t="s">
        <v>55</v>
      </c>
      <c r="F439">
        <v>1.48</v>
      </c>
    </row>
    <row r="440" spans="2:6">
      <c r="B440" t="s">
        <v>360</v>
      </c>
      <c r="F440">
        <v>1.3</v>
      </c>
    </row>
    <row r="441" spans="2:6">
      <c r="B441" t="s">
        <v>361</v>
      </c>
      <c r="F441">
        <v>1.54</v>
      </c>
    </row>
    <row r="442" spans="2:6">
      <c r="B442" t="s">
        <v>362</v>
      </c>
      <c r="F442">
        <v>1.3</v>
      </c>
    </row>
    <row r="443" spans="2:6">
      <c r="B443" t="s">
        <v>363</v>
      </c>
      <c r="F443">
        <v>1.55</v>
      </c>
    </row>
    <row r="444" spans="2:6">
      <c r="B444" t="s">
        <v>364</v>
      </c>
      <c r="F444">
        <v>1.8</v>
      </c>
    </row>
    <row r="445" spans="2:6">
      <c r="B445" t="s">
        <v>365</v>
      </c>
      <c r="F445">
        <v>1.9</v>
      </c>
    </row>
    <row r="446" spans="2:6">
      <c r="B446" t="s">
        <v>366</v>
      </c>
      <c r="F446">
        <v>1.25</v>
      </c>
    </row>
    <row r="447" spans="2:6">
      <c r="B447" t="s">
        <v>52</v>
      </c>
      <c r="F447">
        <v>2</v>
      </c>
    </row>
    <row r="448" spans="2:6">
      <c r="B448" t="s">
        <v>49</v>
      </c>
      <c r="F448">
        <v>2</v>
      </c>
    </row>
    <row r="449" spans="2:6">
      <c r="B449" t="s">
        <v>47</v>
      </c>
      <c r="F449">
        <v>2.1</v>
      </c>
    </row>
    <row r="450" spans="2:6">
      <c r="B450" t="s">
        <v>367</v>
      </c>
      <c r="F450">
        <v>1.7</v>
      </c>
    </row>
    <row r="451" spans="2:6">
      <c r="B451" t="s">
        <v>368</v>
      </c>
      <c r="F451">
        <v>1.2</v>
      </c>
    </row>
    <row r="452" spans="2:6">
      <c r="B452" t="s">
        <v>369</v>
      </c>
      <c r="F452">
        <v>5.0999999999999996</v>
      </c>
    </row>
    <row r="453" spans="2:6">
      <c r="B453" t="s">
        <v>370</v>
      </c>
      <c r="F453">
        <v>6.6</v>
      </c>
    </row>
    <row r="454" spans="2:6">
      <c r="B454" t="s">
        <v>371</v>
      </c>
      <c r="F454">
        <v>4.38</v>
      </c>
    </row>
    <row r="455" spans="2:6">
      <c r="B455" t="s">
        <v>372</v>
      </c>
      <c r="F455">
        <v>5</v>
      </c>
    </row>
    <row r="456" spans="2:6">
      <c r="B456" t="s">
        <v>373</v>
      </c>
      <c r="F456">
        <v>3.3</v>
      </c>
    </row>
    <row r="457" spans="2:6">
      <c r="B457" t="s">
        <v>374</v>
      </c>
      <c r="F457">
        <v>2</v>
      </c>
    </row>
    <row r="458" spans="2:6">
      <c r="B458" t="s">
        <v>375</v>
      </c>
      <c r="F458">
        <v>2</v>
      </c>
    </row>
    <row r="459" spans="2:6">
      <c r="B459" t="s">
        <v>376</v>
      </c>
      <c r="F459">
        <v>2</v>
      </c>
    </row>
    <row r="460" spans="2:6">
      <c r="B460" t="s">
        <v>377</v>
      </c>
      <c r="F460">
        <v>1.8</v>
      </c>
    </row>
    <row r="461" spans="2:6">
      <c r="B461" t="s">
        <v>378</v>
      </c>
      <c r="F461">
        <v>1.8</v>
      </c>
    </row>
    <row r="462" spans="2:6">
      <c r="B462" t="s">
        <v>379</v>
      </c>
      <c r="F462">
        <v>1.45</v>
      </c>
    </row>
    <row r="463" spans="2:6">
      <c r="B463" t="s">
        <v>380</v>
      </c>
      <c r="F463">
        <v>1.25</v>
      </c>
    </row>
    <row r="464" spans="2:6">
      <c r="B464" t="s">
        <v>381</v>
      </c>
      <c r="F464">
        <v>1.5</v>
      </c>
    </row>
    <row r="465" spans="2:6">
      <c r="B465" t="s">
        <v>382</v>
      </c>
      <c r="F465">
        <v>1.6</v>
      </c>
    </row>
    <row r="466" spans="2:6">
      <c r="B466" t="s">
        <v>383</v>
      </c>
      <c r="F466">
        <v>1.7</v>
      </c>
    </row>
    <row r="467" spans="2:6">
      <c r="B467" t="s">
        <v>384</v>
      </c>
      <c r="F467">
        <v>1.2</v>
      </c>
    </row>
    <row r="468" spans="2:6">
      <c r="B468" t="s">
        <v>385</v>
      </c>
      <c r="F468">
        <v>1.4</v>
      </c>
    </row>
    <row r="469" spans="2:6">
      <c r="B469" t="s">
        <v>386</v>
      </c>
      <c r="F469">
        <v>1.33</v>
      </c>
    </row>
    <row r="470" spans="2:6">
      <c r="B470" t="s">
        <v>387</v>
      </c>
      <c r="F470">
        <v>1.4</v>
      </c>
    </row>
    <row r="471" spans="2:6">
      <c r="B471" t="s">
        <v>388</v>
      </c>
      <c r="F471">
        <v>1.17</v>
      </c>
    </row>
    <row r="472" spans="2:6">
      <c r="B472" t="s">
        <v>389</v>
      </c>
      <c r="F472">
        <v>1.25</v>
      </c>
    </row>
    <row r="473" spans="2:6">
      <c r="B473" t="s">
        <v>390</v>
      </c>
      <c r="F473">
        <v>1.58</v>
      </c>
    </row>
    <row r="474" spans="2:6">
      <c r="B474" t="s">
        <v>391</v>
      </c>
      <c r="F474">
        <v>2.37</v>
      </c>
    </row>
    <row r="475" spans="2:6">
      <c r="B475" t="s">
        <v>392</v>
      </c>
      <c r="F475">
        <v>1.1200000000000001</v>
      </c>
    </row>
    <row r="476" spans="2:6">
      <c r="B476" t="s">
        <v>393</v>
      </c>
      <c r="F476">
        <v>1.36</v>
      </c>
    </row>
    <row r="477" spans="2:6">
      <c r="B477" t="s">
        <v>394</v>
      </c>
      <c r="F477">
        <v>1.3</v>
      </c>
    </row>
    <row r="478" spans="2:6">
      <c r="B478" t="s">
        <v>395</v>
      </c>
      <c r="F478">
        <v>3.15</v>
      </c>
    </row>
    <row r="479" spans="2:6">
      <c r="B479" t="s">
        <v>396</v>
      </c>
      <c r="F479">
        <v>3.5</v>
      </c>
    </row>
    <row r="480" spans="2:6">
      <c r="B480" t="s">
        <v>397</v>
      </c>
      <c r="F480">
        <v>4.5</v>
      </c>
    </row>
    <row r="481" spans="2:6">
      <c r="B481" t="s">
        <v>398</v>
      </c>
      <c r="F481">
        <v>3.18</v>
      </c>
    </row>
    <row r="482" spans="2:6">
      <c r="B482" t="s">
        <v>399</v>
      </c>
      <c r="F482">
        <v>5</v>
      </c>
    </row>
    <row r="483" spans="2:6">
      <c r="B483" t="s">
        <v>400</v>
      </c>
      <c r="F483">
        <v>3.4</v>
      </c>
    </row>
    <row r="484" spans="2:6">
      <c r="B484" t="s">
        <v>401</v>
      </c>
      <c r="F484">
        <v>1.82</v>
      </c>
    </row>
    <row r="485" spans="2:6">
      <c r="B485" t="s">
        <v>402</v>
      </c>
      <c r="F485">
        <v>1.36</v>
      </c>
    </row>
    <row r="486" spans="2:6">
      <c r="B486" t="s">
        <v>403</v>
      </c>
      <c r="F486">
        <v>1.39</v>
      </c>
    </row>
    <row r="487" spans="2:6">
      <c r="B487" t="s">
        <v>404</v>
      </c>
      <c r="F487">
        <v>1.33</v>
      </c>
    </row>
    <row r="488" spans="2:6">
      <c r="B488" t="s">
        <v>405</v>
      </c>
      <c r="F488">
        <v>3.05</v>
      </c>
    </row>
    <row r="489" spans="2:6">
      <c r="B489" t="s">
        <v>406</v>
      </c>
      <c r="F489">
        <v>3</v>
      </c>
    </row>
    <row r="490" spans="2:6">
      <c r="B490" t="s">
        <v>407</v>
      </c>
      <c r="F490">
        <v>1.69</v>
      </c>
    </row>
    <row r="491" spans="2:6">
      <c r="B491" t="s">
        <v>408</v>
      </c>
      <c r="F491">
        <v>1.59</v>
      </c>
    </row>
    <row r="492" spans="2:6">
      <c r="B492" t="s">
        <v>409</v>
      </c>
      <c r="F492">
        <v>1.59</v>
      </c>
    </row>
    <row r="493" spans="2:6">
      <c r="B493" t="s">
        <v>410</v>
      </c>
      <c r="F493">
        <v>1.61</v>
      </c>
    </row>
    <row r="494" spans="2:6">
      <c r="B494" t="s">
        <v>411</v>
      </c>
      <c r="F494">
        <v>2.35</v>
      </c>
    </row>
    <row r="495" spans="2:6">
      <c r="B495" t="s">
        <v>412</v>
      </c>
      <c r="F495">
        <v>1.84</v>
      </c>
    </row>
    <row r="496" spans="2:6">
      <c r="B496" t="s">
        <v>413</v>
      </c>
      <c r="F496">
        <v>1.74</v>
      </c>
    </row>
    <row r="497" spans="2:6">
      <c r="B497" t="s">
        <v>414</v>
      </c>
      <c r="F497">
        <v>1.81</v>
      </c>
    </row>
    <row r="498" spans="2:6">
      <c r="B498" t="s">
        <v>415</v>
      </c>
      <c r="F498">
        <v>2.14</v>
      </c>
    </row>
    <row r="499" spans="2:6">
      <c r="B499" t="s">
        <v>416</v>
      </c>
      <c r="F499">
        <v>1.78</v>
      </c>
    </row>
    <row r="500" spans="2:6">
      <c r="B500" t="s">
        <v>417</v>
      </c>
      <c r="F500">
        <v>1.78</v>
      </c>
    </row>
    <row r="501" spans="2:6">
      <c r="B501" t="s">
        <v>418</v>
      </c>
      <c r="F501">
        <v>6.3</v>
      </c>
    </row>
    <row r="502" spans="2:6">
      <c r="B502" t="s">
        <v>419</v>
      </c>
      <c r="F502">
        <v>2.8</v>
      </c>
    </row>
    <row r="503" spans="2:6">
      <c r="B503" t="s">
        <v>420</v>
      </c>
      <c r="F503">
        <v>2.89</v>
      </c>
    </row>
    <row r="504" spans="2:6">
      <c r="B504" t="s">
        <v>375</v>
      </c>
      <c r="F504">
        <v>2.0499999999999998</v>
      </c>
    </row>
    <row r="505" spans="2:6">
      <c r="B505" t="s">
        <v>421</v>
      </c>
      <c r="F505">
        <v>1.32</v>
      </c>
    </row>
    <row r="506" spans="2:6">
      <c r="B506" t="s">
        <v>422</v>
      </c>
      <c r="F506">
        <v>1.22</v>
      </c>
    </row>
    <row r="507" spans="2:6">
      <c r="B507" t="s">
        <v>423</v>
      </c>
      <c r="F507">
        <v>12.4</v>
      </c>
    </row>
    <row r="508" spans="2:6">
      <c r="B508" t="s">
        <v>424</v>
      </c>
      <c r="F508">
        <v>9.34</v>
      </c>
    </row>
    <row r="509" spans="2:6">
      <c r="B509" t="s">
        <v>425</v>
      </c>
      <c r="F509">
        <v>16.899999999999999</v>
      </c>
    </row>
    <row r="510" spans="2:6">
      <c r="B510" t="s">
        <v>426</v>
      </c>
      <c r="F510">
        <v>9.3000000000000007</v>
      </c>
    </row>
    <row r="511" spans="2:6">
      <c r="B511" t="s">
        <v>427</v>
      </c>
      <c r="F511">
        <v>7.25</v>
      </c>
    </row>
    <row r="512" spans="2:6">
      <c r="B512" t="s">
        <v>428</v>
      </c>
      <c r="F512">
        <v>7.25</v>
      </c>
    </row>
    <row r="513" spans="2:6">
      <c r="B513" t="s">
        <v>429</v>
      </c>
      <c r="F513">
        <v>7.56</v>
      </c>
    </row>
    <row r="514" spans="2:6">
      <c r="B514" t="s">
        <v>430</v>
      </c>
      <c r="F514">
        <v>10.46</v>
      </c>
    </row>
    <row r="515" spans="2:6">
      <c r="B515" t="s">
        <v>431</v>
      </c>
      <c r="F515">
        <v>9.4600000000000009</v>
      </c>
    </row>
    <row r="516" spans="2:6">
      <c r="B516" t="s">
        <v>432</v>
      </c>
      <c r="F516">
        <v>2.7</v>
      </c>
    </row>
    <row r="517" spans="2:6">
      <c r="B517" t="s">
        <v>433</v>
      </c>
      <c r="F517">
        <v>1.28</v>
      </c>
    </row>
    <row r="518" spans="2:6">
      <c r="B518" t="s">
        <v>434</v>
      </c>
      <c r="F518">
        <v>3.61</v>
      </c>
    </row>
    <row r="519" spans="2:6">
      <c r="B519" t="s">
        <v>435</v>
      </c>
      <c r="F519">
        <v>6</v>
      </c>
    </row>
    <row r="520" spans="2:6">
      <c r="B520" t="s">
        <v>436</v>
      </c>
      <c r="F520">
        <v>5.47</v>
      </c>
    </row>
    <row r="521" spans="2:6">
      <c r="B521" t="s">
        <v>437</v>
      </c>
      <c r="F521">
        <v>5.26</v>
      </c>
    </row>
    <row r="522" spans="2:6">
      <c r="B522" t="s">
        <v>438</v>
      </c>
      <c r="F522">
        <v>5.14</v>
      </c>
    </row>
    <row r="523" spans="2:6">
      <c r="B523" t="s">
        <v>439</v>
      </c>
      <c r="F523">
        <v>6</v>
      </c>
    </row>
    <row r="524" spans="2:6">
      <c r="B524" t="s">
        <v>440</v>
      </c>
      <c r="F524">
        <v>4.25</v>
      </c>
    </row>
    <row r="525" spans="2:6">
      <c r="B525" t="s">
        <v>441</v>
      </c>
      <c r="F525">
        <v>8</v>
      </c>
    </row>
    <row r="526" spans="2:6">
      <c r="B526" t="s">
        <v>442</v>
      </c>
      <c r="F526">
        <v>1.2</v>
      </c>
    </row>
    <row r="527" spans="2:6">
      <c r="B527" t="s">
        <v>443</v>
      </c>
      <c r="F527">
        <v>26.8</v>
      </c>
    </row>
    <row r="528" spans="2:6">
      <c r="B528" t="s">
        <v>444</v>
      </c>
      <c r="F528">
        <v>10.7</v>
      </c>
    </row>
    <row r="529" spans="2:6">
      <c r="B529" t="s">
        <v>445</v>
      </c>
      <c r="F529">
        <v>1.32</v>
      </c>
    </row>
    <row r="530" spans="2:6">
      <c r="B530" t="s">
        <v>446</v>
      </c>
      <c r="F530">
        <v>1.24</v>
      </c>
    </row>
    <row r="531" spans="2:6">
      <c r="B531" t="s">
        <v>447</v>
      </c>
      <c r="F531">
        <v>5.2</v>
      </c>
    </row>
    <row r="532" spans="2:6">
      <c r="B532" t="s">
        <v>448</v>
      </c>
      <c r="F532">
        <v>1.08</v>
      </c>
    </row>
    <row r="533" spans="2:6">
      <c r="B533" t="s">
        <v>449</v>
      </c>
      <c r="F533">
        <v>1.27</v>
      </c>
    </row>
    <row r="534" spans="2:6">
      <c r="B534" t="s">
        <v>450</v>
      </c>
      <c r="F534">
        <v>1.8</v>
      </c>
    </row>
    <row r="535" spans="2:6">
      <c r="B535" t="s">
        <v>451</v>
      </c>
      <c r="F535">
        <v>2.06</v>
      </c>
    </row>
    <row r="536" spans="2:6">
      <c r="B536" t="s">
        <v>452</v>
      </c>
      <c r="F536">
        <v>1.27</v>
      </c>
    </row>
    <row r="537" spans="2:6">
      <c r="B537" t="s">
        <v>453</v>
      </c>
      <c r="F537">
        <v>2.04</v>
      </c>
    </row>
    <row r="538" spans="2:6">
      <c r="B538" t="s">
        <v>454</v>
      </c>
      <c r="F538">
        <v>1.1000000000000001</v>
      </c>
    </row>
    <row r="539" spans="2:6">
      <c r="B539" t="s">
        <v>455</v>
      </c>
      <c r="F539">
        <v>2.6</v>
      </c>
    </row>
    <row r="540" spans="2:6">
      <c r="B540" t="s">
        <v>456</v>
      </c>
      <c r="F540">
        <v>1.5</v>
      </c>
    </row>
    <row r="541" spans="2:6">
      <c r="B541" t="s">
        <v>457</v>
      </c>
      <c r="F541">
        <v>1.2</v>
      </c>
    </row>
    <row r="542" spans="2:6">
      <c r="B542" t="s">
        <v>458</v>
      </c>
      <c r="F542">
        <v>1.67</v>
      </c>
    </row>
    <row r="543" spans="2:6">
      <c r="B543" t="s">
        <v>459</v>
      </c>
      <c r="F543">
        <v>2.08</v>
      </c>
    </row>
    <row r="544" spans="2:6">
      <c r="B544" t="s">
        <v>460</v>
      </c>
      <c r="F544">
        <v>2.6</v>
      </c>
    </row>
    <row r="545" spans="2:6">
      <c r="B545" t="s">
        <v>461</v>
      </c>
      <c r="F545">
        <v>0.62</v>
      </c>
    </row>
    <row r="546" spans="2:6">
      <c r="B546" t="s">
        <v>462</v>
      </c>
      <c r="F546">
        <v>1.52</v>
      </c>
    </row>
    <row r="547" spans="2:6">
      <c r="B547" t="s">
        <v>463</v>
      </c>
      <c r="F547">
        <v>2.9</v>
      </c>
    </row>
    <row r="548" spans="2:6">
      <c r="B548" t="s">
        <v>464</v>
      </c>
      <c r="F548">
        <v>2.35</v>
      </c>
    </row>
    <row r="549" spans="2:6">
      <c r="B549" t="s">
        <v>465</v>
      </c>
      <c r="F549">
        <v>2.82</v>
      </c>
    </row>
    <row r="550" spans="2:6">
      <c r="B550" t="s">
        <v>466</v>
      </c>
      <c r="F550">
        <v>1.5</v>
      </c>
    </row>
    <row r="551" spans="2:6">
      <c r="B551" t="s">
        <v>467</v>
      </c>
      <c r="F551">
        <v>1.49</v>
      </c>
    </row>
    <row r="552" spans="2:6">
      <c r="B552" t="s">
        <v>468</v>
      </c>
      <c r="F552">
        <v>1.49</v>
      </c>
    </row>
    <row r="553" spans="2:6">
      <c r="B553" t="s">
        <v>469</v>
      </c>
      <c r="F553">
        <v>1.5</v>
      </c>
    </row>
    <row r="554" spans="2:6">
      <c r="B554" t="s">
        <v>470</v>
      </c>
      <c r="F554">
        <v>1.49</v>
      </c>
    </row>
    <row r="555" spans="2:6">
      <c r="B555" t="s">
        <v>471</v>
      </c>
      <c r="F555">
        <v>1.49</v>
      </c>
    </row>
    <row r="556" spans="2:6">
      <c r="B556" t="s">
        <v>472</v>
      </c>
      <c r="F556">
        <v>1.79</v>
      </c>
    </row>
    <row r="557" spans="2:6">
      <c r="B557" t="s">
        <v>473</v>
      </c>
      <c r="F557">
        <v>2.29</v>
      </c>
    </row>
    <row r="558" spans="2:6">
      <c r="B558" t="s">
        <v>474</v>
      </c>
      <c r="F558">
        <v>1.66</v>
      </c>
    </row>
    <row r="559" spans="2:6">
      <c r="B559" t="s">
        <v>475</v>
      </c>
      <c r="F559">
        <v>1.4</v>
      </c>
    </row>
    <row r="560" spans="2:6">
      <c r="B560" t="s">
        <v>476</v>
      </c>
      <c r="F560">
        <v>1.59</v>
      </c>
    </row>
    <row r="561" spans="2:6">
      <c r="B561" t="s">
        <v>477</v>
      </c>
      <c r="F561">
        <v>1.2</v>
      </c>
    </row>
    <row r="562" spans="2:6">
      <c r="B562" t="s">
        <v>478</v>
      </c>
      <c r="F562">
        <v>1.47</v>
      </c>
    </row>
    <row r="563" spans="2:6">
      <c r="B563" t="s">
        <v>479</v>
      </c>
      <c r="F563">
        <v>1.24</v>
      </c>
    </row>
    <row r="564" spans="2:6">
      <c r="B564" t="s">
        <v>131</v>
      </c>
      <c r="F564">
        <v>1.35</v>
      </c>
    </row>
    <row r="565" spans="2:6">
      <c r="B565" t="s">
        <v>480</v>
      </c>
      <c r="F565">
        <v>2.14</v>
      </c>
    </row>
    <row r="566" spans="2:6">
      <c r="B566" t="s">
        <v>481</v>
      </c>
      <c r="F566">
        <v>1.71</v>
      </c>
    </row>
    <row r="567" spans="2:6">
      <c r="B567" t="s">
        <v>482</v>
      </c>
      <c r="F567">
        <v>1.85</v>
      </c>
    </row>
    <row r="568" spans="2:6">
      <c r="B568" t="s">
        <v>483</v>
      </c>
      <c r="F568">
        <v>1.85</v>
      </c>
    </row>
    <row r="569" spans="2:6">
      <c r="B569" t="s">
        <v>484</v>
      </c>
      <c r="F569">
        <v>1.36</v>
      </c>
    </row>
    <row r="570" spans="2:6">
      <c r="B570" t="s">
        <v>485</v>
      </c>
      <c r="F570">
        <v>1.26</v>
      </c>
    </row>
    <row r="571" spans="2:6">
      <c r="B571" t="s">
        <v>486</v>
      </c>
      <c r="F571">
        <v>2</v>
      </c>
    </row>
    <row r="572" spans="2:6">
      <c r="B572" t="s">
        <v>487</v>
      </c>
      <c r="F572">
        <v>2</v>
      </c>
    </row>
    <row r="573" spans="2:6">
      <c r="B573" t="s">
        <v>488</v>
      </c>
      <c r="F573">
        <v>1.82</v>
      </c>
    </row>
    <row r="574" spans="2:6">
      <c r="B574" t="s">
        <v>489</v>
      </c>
      <c r="F574">
        <v>1.51</v>
      </c>
    </row>
    <row r="575" spans="2:6">
      <c r="B575" t="s">
        <v>490</v>
      </c>
      <c r="F575">
        <v>1.29</v>
      </c>
    </row>
    <row r="576" spans="2:6">
      <c r="B576" t="s">
        <v>491</v>
      </c>
      <c r="F576">
        <v>1.27</v>
      </c>
    </row>
    <row r="577" spans="2:6">
      <c r="B577" t="s">
        <v>492</v>
      </c>
      <c r="F577">
        <v>1.28</v>
      </c>
    </row>
    <row r="578" spans="2:6">
      <c r="B578" t="s">
        <v>493</v>
      </c>
      <c r="F578">
        <v>1.32</v>
      </c>
    </row>
    <row r="579" spans="2:6">
      <c r="B579" t="s">
        <v>494</v>
      </c>
      <c r="F579">
        <v>1.55</v>
      </c>
    </row>
    <row r="580" spans="2:6">
      <c r="B580" t="s">
        <v>495</v>
      </c>
      <c r="F580">
        <v>1.36</v>
      </c>
    </row>
    <row r="581" spans="2:6">
      <c r="B581" t="s">
        <v>496</v>
      </c>
      <c r="F581">
        <v>1.46</v>
      </c>
    </row>
    <row r="582" spans="2:6">
      <c r="B582" t="s">
        <v>497</v>
      </c>
      <c r="F582">
        <v>1.74</v>
      </c>
    </row>
    <row r="583" spans="2:6">
      <c r="B583" t="s">
        <v>498</v>
      </c>
      <c r="F583">
        <v>2.5099999999999998</v>
      </c>
    </row>
    <row r="584" spans="2:6">
      <c r="B584" t="s">
        <v>499</v>
      </c>
      <c r="F584">
        <v>1.43</v>
      </c>
    </row>
    <row r="585" spans="2:6">
      <c r="B585" t="s">
        <v>500</v>
      </c>
      <c r="F585">
        <v>2.86</v>
      </c>
    </row>
    <row r="586" spans="2:6">
      <c r="B586" t="s">
        <v>501</v>
      </c>
      <c r="F586">
        <v>1.85</v>
      </c>
    </row>
    <row r="587" spans="2:6">
      <c r="B587" t="s">
        <v>502</v>
      </c>
      <c r="F587">
        <v>2.79</v>
      </c>
    </row>
    <row r="588" spans="2:6">
      <c r="B588" t="s">
        <v>503</v>
      </c>
      <c r="F588">
        <v>3.09</v>
      </c>
    </row>
    <row r="589" spans="2:6">
      <c r="B589" t="s">
        <v>504</v>
      </c>
      <c r="F589">
        <v>2.04</v>
      </c>
    </row>
    <row r="590" spans="2:6">
      <c r="B590" t="s">
        <v>505</v>
      </c>
      <c r="F590">
        <v>1.0900000000000001</v>
      </c>
    </row>
    <row r="591" spans="2:6">
      <c r="B591" t="s">
        <v>506</v>
      </c>
      <c r="F591">
        <v>1.36</v>
      </c>
    </row>
    <row r="592" spans="2:6">
      <c r="B592" t="s">
        <v>507</v>
      </c>
      <c r="F592">
        <v>1.17</v>
      </c>
    </row>
    <row r="593" spans="2:6">
      <c r="B593" t="s">
        <v>54</v>
      </c>
      <c r="F593">
        <v>1.32</v>
      </c>
    </row>
    <row r="594" spans="2:6">
      <c r="B594" t="s">
        <v>381</v>
      </c>
      <c r="F594">
        <v>1.49</v>
      </c>
    </row>
    <row r="595" spans="2:6">
      <c r="B595" t="s">
        <v>508</v>
      </c>
      <c r="F595">
        <v>2</v>
      </c>
    </row>
    <row r="596" spans="2:6">
      <c r="B596" t="s">
        <v>509</v>
      </c>
      <c r="F596">
        <v>1.24</v>
      </c>
    </row>
    <row r="597" spans="2:6">
      <c r="B597" t="s">
        <v>510</v>
      </c>
      <c r="F597">
        <v>1.75</v>
      </c>
    </row>
    <row r="598" spans="2:6">
      <c r="B598" t="s">
        <v>511</v>
      </c>
      <c r="F598">
        <v>2.74</v>
      </c>
    </row>
    <row r="599" spans="2:6">
      <c r="B599" t="s">
        <v>512</v>
      </c>
      <c r="F599">
        <v>2.87</v>
      </c>
    </row>
    <row r="600" spans="2:6">
      <c r="B600" t="s">
        <v>513</v>
      </c>
      <c r="F600">
        <v>2.2599999999999998</v>
      </c>
    </row>
    <row r="601" spans="2:6">
      <c r="B601" t="s">
        <v>514</v>
      </c>
      <c r="F601">
        <v>1.26</v>
      </c>
    </row>
    <row r="602" spans="2:6">
      <c r="B602" t="s">
        <v>515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2026-03-17T07:57:21Z</dcterms:modified>
</cp:coreProperties>
</file>